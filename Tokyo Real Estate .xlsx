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ooja kumari\OneDrive\Desktop\project_3_Tokyo Real Estate Intelligence\"/>
    </mc:Choice>
  </mc:AlternateContent>
  <xr:revisionPtr revIDLastSave="0" documentId="13_ncr:1_{232E501B-AF50-44FB-9013-8C1251BB43B8}" xr6:coauthVersionLast="47" xr6:coauthVersionMax="47" xr10:uidLastSave="{00000000-0000-0000-0000-000000000000}"/>
  <bookViews>
    <workbookView xWindow="-120" yWindow="-120" windowWidth="29040" windowHeight="15720" activeTab="1" xr2:uid="{3B80129E-665E-4DE8-BD1A-416B429C910E}"/>
  </bookViews>
  <sheets>
    <sheet name="clean_data" sheetId="1" r:id="rId1"/>
    <sheet name="Pivot _Table" sheetId="6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AA36" i="1"/>
  <c r="AA36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<sst xmlns="http://schemas.openxmlformats.org/spreadsheetml/2006/main" count="145" uniqueCount="31">
  <si>
    <t>ward</t>
  </si>
  <si>
    <t>price</t>
  </si>
  <si>
    <t>size_sqm</t>
  </si>
  <si>
    <t>age_years</t>
  </si>
  <si>
    <t>station_distance_m</t>
  </si>
  <si>
    <t>floor</t>
  </si>
  <si>
    <t>earthquake_safety_score</t>
  </si>
  <si>
    <t>layout</t>
  </si>
  <si>
    <t>Shibuya</t>
  </si>
  <si>
    <t>3LDK</t>
  </si>
  <si>
    <t>Minato</t>
  </si>
  <si>
    <t>2LDK</t>
  </si>
  <si>
    <t>Chiyoda</t>
  </si>
  <si>
    <t>4LDK</t>
  </si>
  <si>
    <t>Shinjuku</t>
  </si>
  <si>
    <t>1LDK</t>
  </si>
  <si>
    <t>Meguro</t>
  </si>
  <si>
    <t>Setagaya</t>
  </si>
  <si>
    <t>5LDK</t>
  </si>
  <si>
    <t xml:space="preserve">Setagaya </t>
  </si>
  <si>
    <t>Price_per_sqm</t>
  </si>
  <si>
    <t>Price_segment</t>
  </si>
  <si>
    <t>Walking_time</t>
  </si>
  <si>
    <t>Row Labels</t>
  </si>
  <si>
    <t>Grand Total</t>
  </si>
  <si>
    <t>Sum of price</t>
  </si>
  <si>
    <t>Count of Price_segment</t>
  </si>
  <si>
    <t>Column Labels</t>
  </si>
  <si>
    <t>Average of price</t>
  </si>
  <si>
    <t>Average of Price_per_sqm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</si>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</sst>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[Tokyo Real Estate .xlsx]Pivot _Table!PivotTable4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Tokyo</a:t>
            </a:r>
            <a:r>
              <a:rPr lang="en-US" b="1" baseline="0">
                <a:solidFill>
                  <a:schemeClr val="tx1"/>
                </a:solidFill>
              </a:rPr>
              <a:t> Ward - Average Property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_Table'!$B$1</c:f>
              <c:strCache>
                <c:ptCount val="1"/>
                <c:pt idx="0">
                  <c:v>Average of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_Table'!$A$2:$A$9</c:f>
              <c:strCache>
                <c:ptCount val="7"/>
                <c:pt idx="0">
                  <c:v>Chiyoda</c:v>
                </c:pt>
                <c:pt idx="1">
                  <c:v>Meguro</c:v>
                </c:pt>
                <c:pt idx="2">
                  <c:v>Minato</c:v>
                </c:pt>
                <c:pt idx="3">
                  <c:v>Setagaya</c:v>
                </c:pt>
                <c:pt idx="4">
                  <c:v>Setagaya </c:v>
                </c:pt>
                <c:pt idx="5">
                  <c:v>Shibuya</c:v>
                </c:pt>
                <c:pt idx="6">
                  <c:v>Shinjuku</c:v>
                </c:pt>
              </c:strCache>
            </c:strRef>
          </c:cat>
          <c:val>
            <c:numRef>
              <c:f>'Pivot _Table'!$B$2:$B$9</c:f>
              <c:numCache>
                <c:formatCode>General</c:formatCode>
                <c:ptCount val="7"/>
                <c:pt idx="0">
                  <c:v>133444444.44444445</c:v>
                </c:pt>
                <c:pt idx="1">
                  <c:v>88125000</c:v>
                </c:pt>
                <c:pt idx="2">
                  <c:v>107222222.22222222</c:v>
                </c:pt>
                <c:pt idx="3">
                  <c:v>71666666.666666672</c:v>
                </c:pt>
                <c:pt idx="4">
                  <c:v>68000000</c:v>
                </c:pt>
                <c:pt idx="5">
                  <c:v>85333333.333333328</c:v>
                </c:pt>
                <c:pt idx="6">
                  <c:v>50000000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01-4B06-8627-C863F2D5EF43}"/>
            </c:ext>
          </c:extLst>
        </c:ser>
        <c:ser>
          <c:idx val="1"/>
          <c:order val="1"/>
          <c:tx>
            <c:strRef>
              <c:f>'Pivot _Table'!$C$1</c:f>
              <c:strCache>
                <c:ptCount val="1"/>
                <c:pt idx="0">
                  <c:v>Average of Price_per_sqm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_Table'!$A$2:$A$9</c:f>
              <c:strCache>
                <c:ptCount val="7"/>
                <c:pt idx="0">
                  <c:v>Chiyoda</c:v>
                </c:pt>
                <c:pt idx="1">
                  <c:v>Meguro</c:v>
                </c:pt>
                <c:pt idx="2">
                  <c:v>Minato</c:v>
                </c:pt>
                <c:pt idx="3">
                  <c:v>Setagaya</c:v>
                </c:pt>
                <c:pt idx="4">
                  <c:v>Setagaya </c:v>
                </c:pt>
                <c:pt idx="5">
                  <c:v>Shibuya</c:v>
                </c:pt>
                <c:pt idx="6">
                  <c:v>Shinjuku</c:v>
                </c:pt>
              </c:strCache>
            </c:strRef>
          </c:cat>
          <c:val>
            <c:numRef>
              <c:f>'Pivot _Table'!$C$2:$C$9</c:f>
              <c:numCache>
                <c:formatCode>General</c:formatCode>
                <c:ptCount val="7"/>
                <c:pt idx="0">
                  <c:v>1030566.9554307585</c:v>
                </c:pt>
                <c:pt idx="1">
                  <c:v>990239.72157216037</c:v>
                </c:pt>
                <c:pt idx="2">
                  <c:v>1037996.245004254</c:v>
                </c:pt>
                <c:pt idx="3">
                  <c:v>1000034.5065562456</c:v>
                </c:pt>
                <c:pt idx="4">
                  <c:v>1000000</c:v>
                </c:pt>
                <c:pt idx="5">
                  <c:v>1020660.6204931185</c:v>
                </c:pt>
                <c:pt idx="6">
                  <c:v>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01-4B06-8627-C863F2D5EF43}"/>
            </c:ext>
          </c:extLst>
        </c:ser>
        <c:ser>
          <c:idx val="2"/>
          <c:order val="2"/>
          <c:tx>
            <c:strRef>
              <c:f>'Pivot _Table'!$D$1</c:f>
              <c:strCache>
                <c:ptCount val="1"/>
                <c:pt idx="0">
                  <c:v>Count of Price_segment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_Table'!$A$2:$A$9</c:f>
              <c:strCache>
                <c:ptCount val="7"/>
                <c:pt idx="0">
                  <c:v>Chiyoda</c:v>
                </c:pt>
                <c:pt idx="1">
                  <c:v>Meguro</c:v>
                </c:pt>
                <c:pt idx="2">
                  <c:v>Minato</c:v>
                </c:pt>
                <c:pt idx="3">
                  <c:v>Setagaya</c:v>
                </c:pt>
                <c:pt idx="4">
                  <c:v>Setagaya </c:v>
                </c:pt>
                <c:pt idx="5">
                  <c:v>Shibuya</c:v>
                </c:pt>
                <c:pt idx="6">
                  <c:v>Shinjuku</c:v>
                </c:pt>
              </c:strCache>
            </c:strRef>
          </c:cat>
          <c:val>
            <c:numRef>
              <c:f>'Pivot _Table'!$D$2:$D$9</c:f>
              <c:numCache>
                <c:formatCode>General</c:formatCode>
                <c:ptCount val="7"/>
                <c:pt idx="0">
                  <c:v>9</c:v>
                </c:pt>
                <c:pt idx="1">
                  <c:v>8</c:v>
                </c:pt>
                <c:pt idx="2">
                  <c:v>9</c:v>
                </c:pt>
                <c:pt idx="3">
                  <c:v>6</c:v>
                </c:pt>
                <c:pt idx="4">
                  <c:v>1</c:v>
                </c:pt>
                <c:pt idx="5">
                  <c:v>9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01-4B06-8627-C863F2D5E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7771472"/>
        <c:axId val="447771952"/>
      </c:barChart>
      <c:catAx>
        <c:axId val="447771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Ward</a:t>
                </a:r>
                <a:r>
                  <a:rPr lang="en-US" b="1" baseline="0">
                    <a:solidFill>
                      <a:schemeClr val="tx1"/>
                    </a:solidFill>
                  </a:rPr>
                  <a:t> names</a:t>
                </a:r>
                <a:endParaRPr lang="en-US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771952"/>
        <c:crosses val="autoZero"/>
        <c:auto val="1"/>
        <c:lblAlgn val="ctr"/>
        <c:lblOffset val="100"/>
        <c:noMultiLvlLbl val="0"/>
      </c:catAx>
      <c:valAx>
        <c:axId val="44777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baseline="0">
                    <a:solidFill>
                      <a:schemeClr val="tx1"/>
                    </a:solidFill>
                  </a:rPr>
                  <a:t>Average of price </a:t>
                </a:r>
              </a:p>
              <a:p>
                <a:pPr>
                  <a:defRPr/>
                </a:pPr>
                <a:endParaRPr lang="en-US" baseline="0"/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77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Walking</a:t>
            </a:r>
            <a:r>
              <a:rPr lang="en-US" b="1" baseline="0">
                <a:solidFill>
                  <a:schemeClr val="tx1"/>
                </a:solidFill>
              </a:rPr>
              <a:t> Time VS Premium Property Prices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6741745361908315"/>
          <c:y val="0.112751647020432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47"/>
              <c:pt idx="0">
                <c:v>1.375</c:v>
              </c:pt>
              <c:pt idx="1">
                <c:v>1.5</c:v>
              </c:pt>
              <c:pt idx="2">
                <c:v>1.625</c:v>
              </c:pt>
              <c:pt idx="3">
                <c:v>1.75</c:v>
              </c:pt>
              <c:pt idx="4">
                <c:v>1.8125</c:v>
              </c:pt>
              <c:pt idx="5">
                <c:v>1.875</c:v>
              </c:pt>
              <c:pt idx="6">
                <c:v>2</c:v>
              </c:pt>
              <c:pt idx="7">
                <c:v>2.125</c:v>
              </c:pt>
              <c:pt idx="8">
                <c:v>2.25</c:v>
              </c:pt>
              <c:pt idx="9">
                <c:v>2.375</c:v>
              </c:pt>
              <c:pt idx="10">
                <c:v>2.5</c:v>
              </c:pt>
              <c:pt idx="11">
                <c:v>2.625</c:v>
              </c:pt>
              <c:pt idx="12">
                <c:v>2.875</c:v>
              </c:pt>
              <c:pt idx="13">
                <c:v>3</c:v>
              </c:pt>
              <c:pt idx="14">
                <c:v>3.125</c:v>
              </c:pt>
              <c:pt idx="15">
                <c:v>3.25</c:v>
              </c:pt>
              <c:pt idx="16">
                <c:v>3.5</c:v>
              </c:pt>
              <c:pt idx="17">
                <c:v>3.875</c:v>
              </c:pt>
              <c:pt idx="18">
                <c:v>4</c:v>
              </c:pt>
              <c:pt idx="19">
                <c:v>4.125</c:v>
              </c:pt>
              <c:pt idx="20">
                <c:v>4.25</c:v>
              </c:pt>
              <c:pt idx="21">
                <c:v>4.375</c:v>
              </c:pt>
              <c:pt idx="22">
                <c:v>4.5</c:v>
              </c:pt>
              <c:pt idx="23">
                <c:v>4.625</c:v>
              </c:pt>
              <c:pt idx="24">
                <c:v>4.75</c:v>
              </c:pt>
              <c:pt idx="25">
                <c:v>4.875</c:v>
              </c:pt>
              <c:pt idx="26">
                <c:v>5</c:v>
              </c:pt>
              <c:pt idx="27">
                <c:v>5.125</c:v>
              </c:pt>
              <c:pt idx="28">
                <c:v>5.25</c:v>
              </c:pt>
              <c:pt idx="29">
                <c:v>5.375</c:v>
              </c:pt>
              <c:pt idx="30">
                <c:v>5.5</c:v>
              </c:pt>
              <c:pt idx="31">
                <c:v>5.625</c:v>
              </c:pt>
              <c:pt idx="32">
                <c:v>5.75</c:v>
              </c:pt>
              <c:pt idx="33">
                <c:v>5.875</c:v>
              </c:pt>
              <c:pt idx="34">
                <c:v>6</c:v>
              </c:pt>
              <c:pt idx="35">
                <c:v>6.125</c:v>
              </c:pt>
              <c:pt idx="36">
                <c:v>6.25</c:v>
              </c:pt>
              <c:pt idx="37">
                <c:v>6.375</c:v>
              </c:pt>
              <c:pt idx="38">
                <c:v>6.5</c:v>
              </c:pt>
              <c:pt idx="39">
                <c:v>6.625</c:v>
              </c:pt>
              <c:pt idx="40">
                <c:v>6.75</c:v>
              </c:pt>
              <c:pt idx="41">
                <c:v>6.875</c:v>
              </c:pt>
              <c:pt idx="42">
                <c:v>7.125</c:v>
              </c:pt>
              <c:pt idx="43">
                <c:v>7.25</c:v>
              </c:pt>
              <c:pt idx="44">
                <c:v>7.375</c:v>
              </c:pt>
              <c:pt idx="45">
                <c:v>7.5</c:v>
              </c:pt>
              <c:pt idx="46">
                <c:v>10</c:v>
              </c:pt>
            </c:strLit>
          </c:cat>
          <c:val>
            <c:numLit>
              <c:formatCode>General</c:formatCode>
              <c:ptCount val="47"/>
              <c:pt idx="0">
                <c:v>142000000</c:v>
              </c:pt>
              <c:pt idx="1">
                <c:v>140000000</c:v>
              </c:pt>
              <c:pt idx="2">
                <c:v>138000000</c:v>
              </c:pt>
              <c:pt idx="3">
                <c:v>132000000</c:v>
              </c:pt>
              <c:pt idx="4">
                <c:v>136000000</c:v>
              </c:pt>
              <c:pt idx="5">
                <c:v>135000000</c:v>
              </c:pt>
              <c:pt idx="6">
                <c:v>130000000</c:v>
              </c:pt>
              <c:pt idx="7">
                <c:v>128000000</c:v>
              </c:pt>
              <c:pt idx="8">
                <c:v>125000000</c:v>
              </c:pt>
              <c:pt idx="9">
                <c:v>121000000</c:v>
              </c:pt>
              <c:pt idx="10">
                <c:v>120000000</c:v>
              </c:pt>
              <c:pt idx="11">
                <c:v>118000000</c:v>
              </c:pt>
              <c:pt idx="12">
                <c:v>115000000</c:v>
              </c:pt>
              <c:pt idx="13">
                <c:v>108000000</c:v>
              </c:pt>
              <c:pt idx="14">
                <c:v>110000000</c:v>
              </c:pt>
              <c:pt idx="15">
                <c:v>105000000</c:v>
              </c:pt>
              <c:pt idx="16">
                <c:v>98000000</c:v>
              </c:pt>
              <c:pt idx="17">
                <c:v>94000000</c:v>
              </c:pt>
              <c:pt idx="18">
                <c:v>92000000</c:v>
              </c:pt>
              <c:pt idx="19">
                <c:v>86000000</c:v>
              </c:pt>
              <c:pt idx="20">
                <c:v>89000000</c:v>
              </c:pt>
              <c:pt idx="21">
                <c:v>85000000</c:v>
              </c:pt>
              <c:pt idx="22">
                <c:v>81000000</c:v>
              </c:pt>
              <c:pt idx="23">
                <c:v>83000000</c:v>
              </c:pt>
              <c:pt idx="24">
                <c:v>78000000</c:v>
              </c:pt>
              <c:pt idx="25">
                <c:v>173000000</c:v>
              </c:pt>
              <c:pt idx="26">
                <c:v>88000000</c:v>
              </c:pt>
              <c:pt idx="27">
                <c:v>84000000</c:v>
              </c:pt>
              <c:pt idx="28">
                <c:v>82000000</c:v>
              </c:pt>
              <c:pt idx="29">
                <c:v>176000000</c:v>
              </c:pt>
              <c:pt idx="30">
                <c:v>87000000</c:v>
              </c:pt>
              <c:pt idx="31">
                <c:v>168000000</c:v>
              </c:pt>
              <c:pt idx="32">
                <c:v>71000000</c:v>
              </c:pt>
              <c:pt idx="33">
                <c:v>75000000</c:v>
              </c:pt>
              <c:pt idx="34">
                <c:v>72000000</c:v>
              </c:pt>
              <c:pt idx="35">
                <c:v>69000000</c:v>
              </c:pt>
              <c:pt idx="36">
                <c:v>68000000</c:v>
              </c:pt>
              <c:pt idx="37">
                <c:v>70000000</c:v>
              </c:pt>
              <c:pt idx="38">
                <c:v>52000000</c:v>
              </c:pt>
              <c:pt idx="39">
                <c:v>53000000</c:v>
              </c:pt>
              <c:pt idx="40">
                <c:v>51000000</c:v>
              </c:pt>
              <c:pt idx="41">
                <c:v>55000000</c:v>
              </c:pt>
              <c:pt idx="42">
                <c:v>49000000</c:v>
              </c:pt>
              <c:pt idx="43">
                <c:v>48000000</c:v>
              </c:pt>
              <c:pt idx="44">
                <c:v>47000000</c:v>
              </c:pt>
              <c:pt idx="45">
                <c:v>45000000</c:v>
              </c:pt>
              <c:pt idx="46">
                <c:v>65000000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7F6-4503-90F7-6BCCC1048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2240240"/>
        <c:axId val="1332249840"/>
      </c:lineChart>
      <c:catAx>
        <c:axId val="133224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249840"/>
        <c:crosses val="autoZero"/>
        <c:auto val="1"/>
        <c:lblAlgn val="ctr"/>
        <c:lblOffset val="100"/>
        <c:noMultiLvlLbl val="0"/>
      </c:catAx>
      <c:valAx>
        <c:axId val="133224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24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Property Laayout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tint val="54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tint val="54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tint val="54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fld id="{924E7B59-29C3-49D3-A456-28D25D8AB926}" type="CATEGORYNAME">
                  <a:rPr lang="en-US" sz="1000" b="1">
                    <a:solidFill>
                      <a:schemeClr val="tx1"/>
                    </a:solidFill>
                  </a:rPr>
                  <a:pPr>
                    <a:defRPr sz="1000"/>
                  </a:pPr>
                  <a:t>[CATEGORY NAME]</a:t>
                </a:fld>
                <a:r>
                  <a:rPr lang="en-US" sz="1000" baseline="0"/>
                  <a:t>
</a:t>
                </a:r>
                <a:fld id="{F3A048BB-F099-4752-AF47-CD70C419C458}" type="PERCENTAGE">
                  <a:rPr lang="en-US" sz="1000" b="1" baseline="0">
                    <a:solidFill>
                      <a:schemeClr val="tx1"/>
                    </a:solidFill>
                  </a:rPr>
                  <a:pPr>
                    <a:defRPr sz="1000"/>
                  </a:pPr>
                  <a:t>[PERCENTAGE]</a:t>
                </a:fld>
                <a:endParaRPr lang="en-US" sz="1000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gradFill rotWithShape="1">
            <a:gsLst>
              <a:gs pos="0">
                <a:schemeClr val="accent2">
                  <a:tint val="77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tint val="77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tint val="7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fld id="{9A26382D-DB4E-415C-B152-1F6A3C4E477D}" type="CATEGORYNAME">
                  <a:rPr lang="en-US" sz="1000" b="1">
                    <a:solidFill>
                      <a:schemeClr val="tx1"/>
                    </a:solidFill>
                  </a:rPr>
                  <a:pPr>
                    <a:defRPr sz="1000"/>
                  </a:pPr>
                  <a:t>[CATEGORY NAME]</a:t>
                </a:fld>
                <a:r>
                  <a:rPr lang="en-US" sz="1000" b="1" baseline="0">
                    <a:solidFill>
                      <a:schemeClr val="tx1"/>
                    </a:solidFill>
                  </a:rPr>
                  <a:t>
</a:t>
                </a:r>
                <a:fld id="{AAFD79DE-1556-41DC-B6E7-FE2D55C1610C}" type="PERCENTAGE">
                  <a:rPr lang="en-US" sz="1000" b="1" baseline="0">
                    <a:solidFill>
                      <a:schemeClr val="tx1"/>
                    </a:solidFill>
                  </a:rPr>
                  <a:pPr>
                    <a:defRPr sz="1000"/>
                  </a:pPr>
                  <a:t>[PERCENTAGE]</a:t>
                </a:fld>
                <a:endParaRPr lang="en-US" sz="1000" b="1" baseline="0">
                  <a:solidFill>
                    <a:schemeClr val="tx1"/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hade val="53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hade val="53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shade val="5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0"/>
        <c:spPr>
          <a:gradFill rotWithShape="1">
            <a:gsLst>
              <a:gs pos="0">
                <a:schemeClr val="accent2">
                  <a:shade val="76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hade val="76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shade val="7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2"/>
        <c:spPr>
          <a:gradFill rotWithShape="1">
            <a:gsLst>
              <a:gs pos="0">
                <a:schemeClr val="accent2">
                  <a:shade val="53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hade val="53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shade val="5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3"/>
        <c:spPr>
          <a:gradFill rotWithShape="1">
            <a:gsLst>
              <a:gs pos="0">
                <a:schemeClr val="accent2">
                  <a:shade val="76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hade val="76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shade val="7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5"/>
        <c:spPr>
          <a:gradFill rotWithShape="1">
            <a:gsLst>
              <a:gs pos="0">
                <a:schemeClr val="accent2">
                  <a:tint val="77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tint val="77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tint val="7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6"/>
        <c:spPr>
          <a:gradFill rotWithShape="1">
            <a:gsLst>
              <a:gs pos="0">
                <a:schemeClr val="accent2">
                  <a:tint val="54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tint val="54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tint val="54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7"/>
        <c:spPr>
          <a:gradFill rotWithShape="1">
            <a:gsLst>
              <a:gs pos="0">
                <a:schemeClr val="accent2">
                  <a:shade val="53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hade val="53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shade val="5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8"/>
        <c:spPr>
          <a:gradFill rotWithShape="1">
            <a:gsLst>
              <a:gs pos="0">
                <a:schemeClr val="accent2">
                  <a:shade val="76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hade val="76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shade val="7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0"/>
        <c:spPr>
          <a:gradFill rotWithShape="1">
            <a:gsLst>
              <a:gs pos="0">
                <a:schemeClr val="accent2">
                  <a:tint val="77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tint val="77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tint val="7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1"/>
        <c:spPr>
          <a:gradFill rotWithShape="1">
            <a:gsLst>
              <a:gs pos="0">
                <a:schemeClr val="accent2">
                  <a:tint val="54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tint val="54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tint val="54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2"/>
        <c:spPr>
          <a:gradFill rotWithShape="1">
            <a:gsLst>
              <a:gs pos="0">
                <a:schemeClr val="accent2">
                  <a:shade val="53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hade val="53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shade val="5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3"/>
        <c:spPr>
          <a:gradFill rotWithShape="1">
            <a:gsLst>
              <a:gs pos="0">
                <a:schemeClr val="accent2">
                  <a:shade val="76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hade val="76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shade val="7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5"/>
        <c:spPr>
          <a:gradFill rotWithShape="1">
            <a:gsLst>
              <a:gs pos="0">
                <a:schemeClr val="accent2">
                  <a:tint val="77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tint val="77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tint val="7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6"/>
        <c:spPr>
          <a:gradFill rotWithShape="1">
            <a:gsLst>
              <a:gs pos="0">
                <a:schemeClr val="accent2">
                  <a:tint val="54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tint val="54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tint val="54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7"/>
        <c:spPr>
          <a:gradFill rotWithShape="1">
            <a:gsLst>
              <a:gs pos="0">
                <a:schemeClr val="accent2">
                  <a:shade val="53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hade val="53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shade val="5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8"/>
        <c:spPr>
          <a:gradFill rotWithShape="1">
            <a:gsLst>
              <a:gs pos="0">
                <a:schemeClr val="accent2">
                  <a:shade val="76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hade val="76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shade val="7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0"/>
        <c:spPr>
          <a:gradFill rotWithShape="1">
            <a:gsLst>
              <a:gs pos="0">
                <a:schemeClr val="accent2">
                  <a:tint val="77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tint val="77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tint val="7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1"/>
        <c:spPr>
          <a:gradFill rotWithShape="1">
            <a:gsLst>
              <a:gs pos="0">
                <a:schemeClr val="accent2">
                  <a:tint val="54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tint val="54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tint val="54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2"/>
        <c:spPr>
          <a:gradFill rotWithShape="1">
            <a:gsLst>
              <a:gs pos="0">
                <a:schemeClr val="accent2">
                  <a:shade val="53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hade val="53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shade val="5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3"/>
        <c:spPr>
          <a:gradFill rotWithShape="1">
            <a:gsLst>
              <a:gs pos="0">
                <a:schemeClr val="accent2">
                  <a:shade val="76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hade val="76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shade val="7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5"/>
        <c:spPr>
          <a:gradFill rotWithShape="1">
            <a:gsLst>
              <a:gs pos="0">
                <a:schemeClr val="accent2">
                  <a:tint val="77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tint val="77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tint val="7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6"/>
        <c:spPr>
          <a:gradFill rotWithShape="1">
            <a:gsLst>
              <a:gs pos="0">
                <a:schemeClr val="accent2">
                  <a:tint val="54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tint val="54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tint val="54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7"/>
        <c:spPr>
          <a:gradFill rotWithShape="1">
            <a:gsLst>
              <a:gs pos="0">
                <a:schemeClr val="accent2">
                  <a:shade val="53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hade val="53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shade val="5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8"/>
        <c:spPr>
          <a:gradFill rotWithShape="1">
            <a:gsLst>
              <a:gs pos="0">
                <a:schemeClr val="accent2">
                  <a:shade val="76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hade val="76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shade val="7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40"/>
        <c:spPr>
          <a:gradFill rotWithShape="1">
            <a:gsLst>
              <a:gs pos="0">
                <a:schemeClr val="accent2">
                  <a:tint val="77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tint val="77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tint val="7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41"/>
        <c:spPr>
          <a:gradFill rotWithShape="1">
            <a:gsLst>
              <a:gs pos="0">
                <a:schemeClr val="accent2">
                  <a:tint val="54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tint val="54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tint val="54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Chiyoda</c:v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hade val="5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5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5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A8D-414A-B936-B85C9B33EBE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A8D-414A-B936-B85C9B33EBE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A8D-414A-B936-B85C9B33EBE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41D-439E-A035-1AE54C1C851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2">
                      <a:tint val="5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5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5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241D-439E-A035-1AE54C1C851E}"/>
              </c:ext>
            </c:extLst>
          </c:dPt>
          <c:dLbls>
            <c:dLbl>
              <c:idx val="3"/>
              <c:tx>
                <c:rich>
                  <a:bodyPr/>
                  <a:lstStyle/>
                  <a:p>
                    <a:fld id="{9A26382D-DB4E-415C-B152-1F6A3C4E477D}" type="CATEGORYNAME">
                      <a:rPr lang="en-US" sz="1000" b="1">
                        <a:solidFill>
                          <a:schemeClr val="tx1"/>
                        </a:solidFill>
                      </a:rPr>
                      <a:pPr/>
                      <a:t>[CATEGORY NAME]</a:t>
                    </a:fld>
                    <a:r>
                      <a:rPr lang="en-US" sz="1000" b="1" baseline="0">
                        <a:solidFill>
                          <a:schemeClr val="tx1"/>
                        </a:solidFill>
                      </a:rPr>
                      <a:t>
</a:t>
                    </a:r>
                    <a:fld id="{AAFD79DE-1556-41DC-B6E7-FE2D55C1610C}" type="PERCENTAGE">
                      <a:rPr lang="en-US" sz="1000" b="1" baseline="0">
                        <a:solidFill>
                          <a:schemeClr val="tx1"/>
                        </a:solidFill>
                      </a:rPr>
                      <a:pPr/>
                      <a:t>[PERCENTAGE]</a:t>
                    </a:fld>
                    <a:endParaRPr lang="en-US" sz="1000" b="1" baseline="0">
                      <a:solidFill>
                        <a:schemeClr val="tx1"/>
                      </a:solidFill>
                    </a:endParaRPr>
                  </a:p>
                </c:rich>
              </c:tx>
              <c:dLblPos val="ctr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241D-439E-A035-1AE54C1C851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24E7B59-29C3-49D3-A456-28D25D8AB926}" type="CATEGORYNAME">
                      <a:rPr lang="en-US" sz="1000" b="1">
                        <a:solidFill>
                          <a:schemeClr val="tx1"/>
                        </a:solidFill>
                      </a:rPr>
                      <a:pPr/>
                      <a:t>[CATEGORY NAME]</a:t>
                    </a:fld>
                    <a:r>
                      <a:rPr lang="en-US" sz="1000" baseline="0"/>
                      <a:t>
</a:t>
                    </a:r>
                    <a:fld id="{F3A048BB-F099-4752-AF47-CD70C419C458}" type="PERCENTAGE">
                      <a:rPr lang="en-US" sz="1000" b="1" baseline="0">
                        <a:solidFill>
                          <a:schemeClr val="tx1"/>
                        </a:solidFill>
                      </a:rPr>
                      <a:pPr/>
                      <a:t>[PERCENTAGE]</a:t>
                    </a:fld>
                    <a:endParaRPr lang="en-US" sz="1000" baseline="0"/>
                  </a:p>
                </c:rich>
              </c:tx>
              <c:dLblPos val="ctr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241D-439E-A035-1AE54C1C85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1LDK</c:v>
              </c:pt>
              <c:pt idx="1">
                <c:v>2LDK</c:v>
              </c:pt>
              <c:pt idx="2">
                <c:v>3LDK</c:v>
              </c:pt>
              <c:pt idx="3">
                <c:v>4LDK</c:v>
              </c:pt>
              <c:pt idx="4">
                <c:v>5LDK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781000000</c:v>
              </c:pt>
              <c:pt idx="4">
                <c:v>420000000</c:v>
              </c:pt>
            </c:numLit>
          </c:val>
          <c:extLst>
            <c:ext xmlns:c16="http://schemas.microsoft.com/office/drawing/2014/chart" uri="{C3380CC4-5D6E-409C-BE32-E72D297353CC}">
              <c16:uniqueId val="{00000000-241D-439E-A035-1AE54C1C851E}"/>
            </c:ext>
          </c:extLst>
        </c:ser>
        <c:ser>
          <c:idx val="1"/>
          <c:order val="1"/>
          <c:tx>
            <c:v>Series2</c:v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hade val="5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5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5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A8D-414A-B936-B85C9B33EBE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A8D-414A-B936-B85C9B33EBE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9A8D-414A-B936-B85C9B33EBE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9A8D-414A-B936-B85C9B33EBE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2">
                      <a:tint val="5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5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5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9A8D-414A-B936-B85C9B33EB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1LDK</c:v>
              </c:pt>
              <c:pt idx="1">
                <c:v>2LDK</c:v>
              </c:pt>
              <c:pt idx="2">
                <c:v>3LDK</c:v>
              </c:pt>
              <c:pt idx="3">
                <c:v>4LDK</c:v>
              </c:pt>
              <c:pt idx="4">
                <c:v>5LDK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705000000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241D-439E-A035-1AE54C1C851E}"/>
            </c:ext>
          </c:extLst>
        </c:ser>
        <c:ser>
          <c:idx val="2"/>
          <c:order val="2"/>
          <c:tx>
            <c:v>Series3</c:v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hade val="5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5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5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9A8D-414A-B936-B85C9B33EBE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9A8D-414A-B936-B85C9B33EBE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9A8D-414A-B936-B85C9B33EBE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9A8D-414A-B936-B85C9B33EBE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2">
                      <a:tint val="5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5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5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9A8D-414A-B936-B85C9B33EB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1LDK</c:v>
              </c:pt>
              <c:pt idx="1">
                <c:v>2LDK</c:v>
              </c:pt>
              <c:pt idx="2">
                <c:v>3LDK</c:v>
              </c:pt>
              <c:pt idx="3">
                <c:v>4LDK</c:v>
              </c:pt>
              <c:pt idx="4">
                <c:v>5LDK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65000000</c:v>
              </c:pt>
              <c:pt idx="2">
                <c:v>203000000</c:v>
              </c:pt>
              <c:pt idx="3">
                <c:v>697000000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241D-439E-A035-1AE54C1C851E}"/>
            </c:ext>
          </c:extLst>
        </c:ser>
        <c:ser>
          <c:idx val="3"/>
          <c:order val="3"/>
          <c:tx>
            <c:v>Series4</c:v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hade val="5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5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5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9A8D-414A-B936-B85C9B33EBE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9A8D-414A-B936-B85C9B33EBE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9A8D-414A-B936-B85C9B33EBE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9A8D-414A-B936-B85C9B33EBE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2">
                      <a:tint val="5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5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5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9A8D-414A-B936-B85C9B33EB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1LDK</c:v>
              </c:pt>
              <c:pt idx="1">
                <c:v>2LDK</c:v>
              </c:pt>
              <c:pt idx="2">
                <c:v>3LDK</c:v>
              </c:pt>
              <c:pt idx="3">
                <c:v>4LDK</c:v>
              </c:pt>
              <c:pt idx="4">
                <c:v>5LDK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430000000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241D-439E-A035-1AE54C1C851E}"/>
            </c:ext>
          </c:extLst>
        </c:ser>
        <c:ser>
          <c:idx val="4"/>
          <c:order val="4"/>
          <c:tx>
            <c:v>Series5</c:v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hade val="5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5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5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9A8D-414A-B936-B85C9B33EBE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9A8D-414A-B936-B85C9B33EBE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9A8D-414A-B936-B85C9B33EBE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9A8D-414A-B936-B85C9B33EBE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2">
                      <a:tint val="5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5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5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9A8D-414A-B936-B85C9B33EB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1LDK</c:v>
              </c:pt>
              <c:pt idx="1">
                <c:v>2LDK</c:v>
              </c:pt>
              <c:pt idx="2">
                <c:v>3LDK</c:v>
              </c:pt>
              <c:pt idx="3">
                <c:v>4LDK</c:v>
              </c:pt>
              <c:pt idx="4">
                <c:v>5LDK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68000000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241D-439E-A035-1AE54C1C851E}"/>
            </c:ext>
          </c:extLst>
        </c:ser>
        <c:ser>
          <c:idx val="5"/>
          <c:order val="5"/>
          <c:tx>
            <c:v>Series6</c:v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hade val="5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5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5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9A8D-414A-B936-B85C9B33EBE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9A8D-414A-B936-B85C9B33EBE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9A8D-414A-B936-B85C9B33EBE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9-9A8D-414A-B936-B85C9B33EBE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2">
                      <a:tint val="5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5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5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9A8D-414A-B936-B85C9B33EB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1LDK</c:v>
              </c:pt>
              <c:pt idx="1">
                <c:v>2LDK</c:v>
              </c:pt>
              <c:pt idx="2">
                <c:v>3LDK</c:v>
              </c:pt>
              <c:pt idx="3">
                <c:v>4LDK</c:v>
              </c:pt>
              <c:pt idx="4">
                <c:v>5LDK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768000000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241D-439E-A035-1AE54C1C851E}"/>
            </c:ext>
          </c:extLst>
        </c:ser>
        <c:ser>
          <c:idx val="6"/>
          <c:order val="6"/>
          <c:tx>
            <c:v>Series7</c:v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hade val="5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5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5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9A8D-414A-B936-B85C9B33EBE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9A8D-414A-B936-B85C9B33EBE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9A8D-414A-B936-B85C9B33EBE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9A8D-414A-B936-B85C9B33EBE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2">
                      <a:tint val="5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5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5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9A8D-414A-B936-B85C9B33EB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1LDK</c:v>
              </c:pt>
              <c:pt idx="1">
                <c:v>2LDK</c:v>
              </c:pt>
              <c:pt idx="2">
                <c:v>3LDK</c:v>
              </c:pt>
              <c:pt idx="3">
                <c:v>4LDK</c:v>
              </c:pt>
              <c:pt idx="4">
                <c:v>5LDK</c:v>
              </c:pt>
            </c:strLit>
          </c:cat>
          <c:val>
            <c:numLit>
              <c:formatCode>General</c:formatCode>
              <c:ptCount val="5"/>
              <c:pt idx="0">
                <c:v>189000000</c:v>
              </c:pt>
              <c:pt idx="1">
                <c:v>211000000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6-241D-439E-A035-1AE54C1C851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395285</xdr:colOff>
      <xdr:row>0</xdr:row>
      <xdr:rowOff>0</xdr:rowOff>
    </xdr:from>
    <xdr:to>
      <xdr:col>17</xdr:col>
      <xdr:colOff>326781</xdr:colOff>
      <xdr:row>18</xdr:row>
      <xdr:rowOff>100013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A7CF09-D4B0-364C-196F-A8F30BBBF9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1452560</xdr:colOff>
      <xdr:row>21</xdr:row>
      <xdr:rowOff>180608</xdr:rowOff>
    </xdr:from>
    <xdr:to>
      <xdr:col>16</xdr:col>
      <xdr:colOff>534133</xdr:colOff>
      <xdr:row>51</xdr:row>
      <xdr:rowOff>52022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8F75BD-5ED4-78C6-DE19-3568B832DB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114055</xdr:colOff>
      <xdr:row>87</xdr:row>
      <xdr:rowOff>6960</xdr:rowOff>
    </xdr:from>
    <xdr:to>
      <xdr:col>16</xdr:col>
      <xdr:colOff>498108</xdr:colOff>
      <xdr:row>107</xdr:row>
      <xdr:rowOff>145073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F04AE74-67F6-4945-C1BA-A7D2DDBBA4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oja kumari" refreshedDate="45930.647987152777" createdVersion="8" refreshedVersion="8" minRefreshableVersion="3" recordCount="50" xr:uid="{B8393609-D674-4C22-AE54-05E7339F96DF}">
  <cacheSource type="worksheet">
    <worksheetSource name="Table1"/>
  </cacheSource>
  <cacheFields count="11">
    <cacheField name="ward" numFmtId="0">
      <sharedItems count="7">
        <s v="Shibuya"/>
        <s v="Minato"/>
        <s v="Chiyoda"/>
        <s v="Shinjuku"/>
        <s v="Meguro"/>
        <s v="Setagaya "/>
        <s v="Setagaya"/>
      </sharedItems>
    </cacheField>
    <cacheField name="price" numFmtId="0">
      <sharedItems containsSemiMixedTypes="0" containsString="0" containsNumber="1" containsInteger="1" minValue="45000000" maxValue="142000000"/>
    </cacheField>
    <cacheField name="size_sqm" numFmtId="0">
      <sharedItems containsSemiMixedTypes="0" containsString="0" containsNumber="1" containsInteger="1" minValue="45" maxValue="138"/>
    </cacheField>
    <cacheField name="age_years" numFmtId="0">
      <sharedItems containsSemiMixedTypes="0" containsString="0" containsNumber="1" containsInteger="1" minValue="1" maxValue="25"/>
    </cacheField>
    <cacheField name="station_distance_m" numFmtId="0">
      <sharedItems containsSemiMixedTypes="0" containsString="0" containsNumber="1" containsInteger="1" minValue="110" maxValue="800"/>
    </cacheField>
    <cacheField name="floor" numFmtId="0">
      <sharedItems containsSemiMixedTypes="0" containsString="0" containsNumber="1" containsInteger="1" minValue="3" maxValue="23"/>
    </cacheField>
    <cacheField name="earthquake_safety_score" numFmtId="0">
      <sharedItems containsSemiMixedTypes="0" containsString="0" containsNumber="1" containsInteger="1" minValue="65" maxValue="94"/>
    </cacheField>
    <cacheField name="layout" numFmtId="0">
      <sharedItems count="5">
        <s v="3LDK"/>
        <s v="2LDK"/>
        <s v="4LDK"/>
        <s v="1LDK"/>
        <s v="5LDK"/>
      </sharedItems>
    </cacheField>
    <cacheField name="Price_per_sqm" numFmtId="0">
      <sharedItems containsSemiMixedTypes="0" containsString="0" containsNumber="1" minValue="977011.49425287358" maxValue="1086956.5217391304"/>
    </cacheField>
    <cacheField name="Price_segment" numFmtId="0">
      <sharedItems count="2">
        <s v="Premium"/>
        <s v="Standard"/>
      </sharedItems>
    </cacheField>
    <cacheField name="Walking_time" numFmtId="0">
      <sharedItems containsSemiMixedTypes="0" containsString="0" containsNumber="1" minValue="1.375" maxValue="10" count="47">
        <n v="4.375"/>
        <n v="10"/>
        <n v="2.5"/>
        <n v="7.5"/>
        <n v="5.625"/>
        <n v="4.75"/>
        <n v="3.125"/>
        <n v="1.875"/>
        <n v="6.875"/>
        <n v="5.25"/>
        <n v="6.25"/>
        <n v="4"/>
        <n v="2.25"/>
        <n v="1.5"/>
        <n v="7.25"/>
        <n v="5"/>
        <n v="6"/>
        <n v="4.5"/>
        <n v="3.5"/>
        <n v="2.125"/>
        <n v="6.5"/>
        <n v="5.375"/>
        <n v="5.875"/>
        <n v="4.25"/>
        <n v="2.875"/>
        <n v="1.75"/>
        <n v="7.375"/>
        <n v="5.125"/>
        <n v="6.125"/>
        <n v="4.625"/>
        <n v="3.25"/>
        <n v="1.625"/>
        <n v="6.625"/>
        <n v="5.5"/>
        <n v="5.75"/>
        <n v="4.125"/>
        <n v="2.375"/>
        <n v="1.375"/>
        <n v="7.125"/>
        <n v="4.875"/>
        <n v="3"/>
        <n v="2"/>
        <n v="6.75"/>
        <n v="6.375"/>
        <n v="3.875"/>
        <n v="2.625"/>
        <n v="1.81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85000000"/>
    <n v="85"/>
    <n v="5"/>
    <n v="350"/>
    <n v="8"/>
    <n v="85"/>
    <x v="0"/>
    <n v="1000000"/>
    <x v="0"/>
    <x v="0"/>
  </r>
  <r>
    <x v="1"/>
    <n v="65000000"/>
    <n v="65"/>
    <n v="15"/>
    <n v="800"/>
    <n v="5"/>
    <n v="75"/>
    <x v="1"/>
    <n v="1000000"/>
    <x v="1"/>
    <x v="1"/>
  </r>
  <r>
    <x v="2"/>
    <n v="120000000"/>
    <n v="120"/>
    <n v="2"/>
    <n v="200"/>
    <n v="12"/>
    <n v="90"/>
    <x v="2"/>
    <n v="1000000"/>
    <x v="0"/>
    <x v="2"/>
  </r>
  <r>
    <x v="3"/>
    <n v="45000000"/>
    <n v="45"/>
    <n v="25"/>
    <n v="600"/>
    <n v="3"/>
    <n v="65"/>
    <x v="3"/>
    <n v="1000000"/>
    <x v="1"/>
    <x v="3"/>
  </r>
  <r>
    <x v="4"/>
    <n v="95000000"/>
    <n v="95"/>
    <n v="8"/>
    <n v="450"/>
    <n v="10"/>
    <n v="80"/>
    <x v="0"/>
    <n v="1000000"/>
    <x v="0"/>
    <x v="4"/>
  </r>
  <r>
    <x v="0"/>
    <n v="78000000"/>
    <n v="78"/>
    <n v="7"/>
    <n v="380"/>
    <n v="7"/>
    <n v="82"/>
    <x v="0"/>
    <n v="1000000"/>
    <x v="1"/>
    <x v="5"/>
  </r>
  <r>
    <x v="1"/>
    <n v="110000000"/>
    <n v="105"/>
    <n v="3"/>
    <n v="250"/>
    <n v="15"/>
    <n v="88"/>
    <x v="2"/>
    <n v="1047619.0476190476"/>
    <x v="0"/>
    <x v="6"/>
  </r>
  <r>
    <x v="2"/>
    <n v="135000000"/>
    <n v="130"/>
    <n v="1"/>
    <n v="150"/>
    <n v="20"/>
    <n v="92"/>
    <x v="2"/>
    <n v="1038461.5384615385"/>
    <x v="0"/>
    <x v="7"/>
  </r>
  <r>
    <x v="3"/>
    <n v="55000000"/>
    <n v="55"/>
    <n v="20"/>
    <n v="550"/>
    <n v="4"/>
    <n v="70"/>
    <x v="1"/>
    <n v="1000000"/>
    <x v="1"/>
    <x v="8"/>
  </r>
  <r>
    <x v="4"/>
    <n v="82000000"/>
    <n v="82"/>
    <n v="10"/>
    <n v="420"/>
    <n v="9"/>
    <n v="78"/>
    <x v="0"/>
    <n v="1000000"/>
    <x v="0"/>
    <x v="9"/>
  </r>
  <r>
    <x v="5"/>
    <n v="68000000"/>
    <n v="68"/>
    <n v="12"/>
    <n v="500"/>
    <n v="6"/>
    <n v="72"/>
    <x v="1"/>
    <n v="1000000"/>
    <x v="1"/>
    <x v="10"/>
  </r>
  <r>
    <x v="0"/>
    <n v="92000000"/>
    <n v="88"/>
    <n v="4"/>
    <n v="320"/>
    <n v="11"/>
    <n v="84"/>
    <x v="0"/>
    <n v="1045454.5454545454"/>
    <x v="0"/>
    <x v="11"/>
  </r>
  <r>
    <x v="1"/>
    <n v="125000000"/>
    <n v="115"/>
    <n v="2"/>
    <n v="180"/>
    <n v="18"/>
    <n v="89"/>
    <x v="2"/>
    <n v="1086956.5217391304"/>
    <x v="0"/>
    <x v="12"/>
  </r>
  <r>
    <x v="2"/>
    <n v="140000000"/>
    <n v="135"/>
    <n v="1"/>
    <n v="120"/>
    <n v="22"/>
    <n v="93"/>
    <x v="4"/>
    <n v="1037037.0370370371"/>
    <x v="0"/>
    <x v="13"/>
  </r>
  <r>
    <x v="3"/>
    <n v="48000000"/>
    <n v="48"/>
    <n v="22"/>
    <n v="580"/>
    <n v="3"/>
    <n v="68"/>
    <x v="3"/>
    <n v="1000000"/>
    <x v="1"/>
    <x v="14"/>
  </r>
  <r>
    <x v="4"/>
    <n v="88000000"/>
    <n v="90"/>
    <n v="6"/>
    <n v="400"/>
    <n v="12"/>
    <n v="81"/>
    <x v="0"/>
    <n v="977777.77777777775"/>
    <x v="0"/>
    <x v="15"/>
  </r>
  <r>
    <x v="6"/>
    <n v="72000000"/>
    <n v="72"/>
    <n v="8"/>
    <n v="480"/>
    <n v="7"/>
    <n v="75"/>
    <x v="1"/>
    <n v="1000000"/>
    <x v="1"/>
    <x v="16"/>
  </r>
  <r>
    <x v="0"/>
    <n v="81000000"/>
    <n v="80"/>
    <n v="6"/>
    <n v="360"/>
    <n v="8"/>
    <n v="83"/>
    <x v="0"/>
    <n v="1012500"/>
    <x v="0"/>
    <x v="17"/>
  </r>
  <r>
    <x v="1"/>
    <n v="98000000"/>
    <n v="95"/>
    <n v="4"/>
    <n v="280"/>
    <n v="14"/>
    <n v="87"/>
    <x v="0"/>
    <n v="1031578.947368421"/>
    <x v="0"/>
    <x v="18"/>
  </r>
  <r>
    <x v="2"/>
    <n v="128000000"/>
    <n v="125"/>
    <n v="1"/>
    <n v="170"/>
    <n v="19"/>
    <n v="91"/>
    <x v="2"/>
    <n v="1024000"/>
    <x v="0"/>
    <x v="19"/>
  </r>
  <r>
    <x v="3"/>
    <n v="52000000"/>
    <n v="52"/>
    <n v="18"/>
    <n v="520"/>
    <n v="5"/>
    <n v="69"/>
    <x v="1"/>
    <n v="1000000"/>
    <x v="1"/>
    <x v="20"/>
  </r>
  <r>
    <x v="4"/>
    <n v="91000000"/>
    <n v="92"/>
    <n v="7"/>
    <n v="430"/>
    <n v="11"/>
    <n v="82"/>
    <x v="0"/>
    <n v="989130.43478260865"/>
    <x v="0"/>
    <x v="21"/>
  </r>
  <r>
    <x v="6"/>
    <n v="75000000"/>
    <n v="75"/>
    <n v="10"/>
    <n v="470"/>
    <n v="8"/>
    <n v="76"/>
    <x v="1"/>
    <n v="1000000"/>
    <x v="1"/>
    <x v="22"/>
  </r>
  <r>
    <x v="0"/>
    <n v="89000000"/>
    <n v="86"/>
    <n v="5"/>
    <n v="340"/>
    <n v="9"/>
    <n v="85"/>
    <x v="0"/>
    <n v="1034883.7209302326"/>
    <x v="0"/>
    <x v="23"/>
  </r>
  <r>
    <x v="1"/>
    <n v="115000000"/>
    <n v="110"/>
    <n v="3"/>
    <n v="230"/>
    <n v="16"/>
    <n v="88"/>
    <x v="2"/>
    <n v="1045454.5454545454"/>
    <x v="0"/>
    <x v="24"/>
  </r>
  <r>
    <x v="2"/>
    <n v="132000000"/>
    <n v="128"/>
    <n v="1"/>
    <n v="140"/>
    <n v="21"/>
    <n v="92"/>
    <x v="2"/>
    <n v="1031250"/>
    <x v="0"/>
    <x v="25"/>
  </r>
  <r>
    <x v="3"/>
    <n v="47000000"/>
    <n v="47"/>
    <n v="24"/>
    <n v="590"/>
    <n v="3"/>
    <n v="67"/>
    <x v="3"/>
    <n v="1000000"/>
    <x v="1"/>
    <x v="26"/>
  </r>
  <r>
    <x v="4"/>
    <n v="84000000"/>
    <n v="84"/>
    <n v="9"/>
    <n v="410"/>
    <n v="10"/>
    <n v="79"/>
    <x v="0"/>
    <n v="1000000"/>
    <x v="0"/>
    <x v="27"/>
  </r>
  <r>
    <x v="6"/>
    <n v="69000000"/>
    <n v="70"/>
    <n v="11"/>
    <n v="490"/>
    <n v="6"/>
    <n v="73"/>
    <x v="1"/>
    <n v="985714.28571428568"/>
    <x v="1"/>
    <x v="28"/>
  </r>
  <r>
    <x v="0"/>
    <n v="83000000"/>
    <n v="82"/>
    <n v="6"/>
    <n v="370"/>
    <n v="8"/>
    <n v="84"/>
    <x v="0"/>
    <n v="1012195.1219512195"/>
    <x v="0"/>
    <x v="29"/>
  </r>
  <r>
    <x v="1"/>
    <n v="105000000"/>
    <n v="100"/>
    <n v="4"/>
    <n v="260"/>
    <n v="13"/>
    <n v="86"/>
    <x v="0"/>
    <n v="1050000"/>
    <x v="0"/>
    <x v="30"/>
  </r>
  <r>
    <x v="2"/>
    <n v="138000000"/>
    <n v="132"/>
    <n v="1"/>
    <n v="130"/>
    <n v="20"/>
    <n v="93"/>
    <x v="4"/>
    <n v="1045454.5454545454"/>
    <x v="0"/>
    <x v="31"/>
  </r>
  <r>
    <x v="3"/>
    <n v="53000000"/>
    <n v="53"/>
    <n v="19"/>
    <n v="530"/>
    <n v="4"/>
    <n v="70"/>
    <x v="1"/>
    <n v="1000000"/>
    <x v="1"/>
    <x v="32"/>
  </r>
  <r>
    <x v="4"/>
    <n v="87000000"/>
    <n v="88"/>
    <n v="7"/>
    <n v="440"/>
    <n v="11"/>
    <n v="80"/>
    <x v="0"/>
    <n v="988636.36363636365"/>
    <x v="0"/>
    <x v="33"/>
  </r>
  <r>
    <x v="6"/>
    <n v="71000000"/>
    <n v="71"/>
    <n v="9"/>
    <n v="460"/>
    <n v="7"/>
    <n v="74"/>
    <x v="1"/>
    <n v="1000000"/>
    <x v="1"/>
    <x v="34"/>
  </r>
  <r>
    <x v="0"/>
    <n v="86000000"/>
    <n v="84"/>
    <n v="5"/>
    <n v="330"/>
    <n v="10"/>
    <n v="85"/>
    <x v="0"/>
    <n v="1023809.5238095238"/>
    <x v="0"/>
    <x v="35"/>
  </r>
  <r>
    <x v="1"/>
    <n v="121000000"/>
    <n v="112"/>
    <n v="2"/>
    <n v="190"/>
    <n v="17"/>
    <n v="89"/>
    <x v="2"/>
    <n v="1080357.142857143"/>
    <x v="0"/>
    <x v="36"/>
  </r>
  <r>
    <x v="2"/>
    <n v="142000000"/>
    <n v="138"/>
    <n v="1"/>
    <n v="110"/>
    <n v="23"/>
    <n v="94"/>
    <x v="4"/>
    <n v="1028985.5072463768"/>
    <x v="0"/>
    <x v="37"/>
  </r>
  <r>
    <x v="3"/>
    <n v="49000000"/>
    <n v="49"/>
    <n v="23"/>
    <n v="570"/>
    <n v="3"/>
    <n v="68"/>
    <x v="3"/>
    <n v="1000000"/>
    <x v="1"/>
    <x v="38"/>
  </r>
  <r>
    <x v="4"/>
    <n v="93000000"/>
    <n v="94"/>
    <n v="8"/>
    <n v="390"/>
    <n v="13"/>
    <n v="82"/>
    <x v="0"/>
    <n v="989361.70212765958"/>
    <x v="0"/>
    <x v="39"/>
  </r>
  <r>
    <x v="6"/>
    <n v="73000000"/>
    <n v="73"/>
    <n v="7"/>
    <n v="450"/>
    <n v="8"/>
    <n v="75"/>
    <x v="1"/>
    <n v="1000000"/>
    <x v="1"/>
    <x v="4"/>
  </r>
  <r>
    <x v="0"/>
    <n v="80000000"/>
    <n v="79"/>
    <n v="7"/>
    <n v="390"/>
    <n v="7"/>
    <n v="83"/>
    <x v="0"/>
    <n v="1012658.2278481013"/>
    <x v="1"/>
    <x v="39"/>
  </r>
  <r>
    <x v="1"/>
    <n v="108000000"/>
    <n v="108"/>
    <n v="3"/>
    <n v="240"/>
    <n v="14"/>
    <n v="87"/>
    <x v="2"/>
    <n v="1000000"/>
    <x v="0"/>
    <x v="40"/>
  </r>
  <r>
    <x v="2"/>
    <n v="130000000"/>
    <n v="126"/>
    <n v="1"/>
    <n v="160"/>
    <n v="18"/>
    <n v="91"/>
    <x v="2"/>
    <n v="1031746.0317460317"/>
    <x v="0"/>
    <x v="41"/>
  </r>
  <r>
    <x v="3"/>
    <n v="51000000"/>
    <n v="51"/>
    <n v="20"/>
    <n v="540"/>
    <n v="4"/>
    <n v="69"/>
    <x v="1"/>
    <n v="1000000"/>
    <x v="1"/>
    <x v="42"/>
  </r>
  <r>
    <x v="4"/>
    <n v="85000000"/>
    <n v="87"/>
    <n v="10"/>
    <n v="430"/>
    <n v="9"/>
    <n v="78"/>
    <x v="0"/>
    <n v="977011.49425287358"/>
    <x v="0"/>
    <x v="21"/>
  </r>
  <r>
    <x v="6"/>
    <n v="70000000"/>
    <n v="69"/>
    <n v="12"/>
    <n v="510"/>
    <n v="5"/>
    <n v="72"/>
    <x v="1"/>
    <n v="1014492.7536231884"/>
    <x v="1"/>
    <x v="43"/>
  </r>
  <r>
    <x v="0"/>
    <n v="94000000"/>
    <n v="90"/>
    <n v="4"/>
    <n v="310"/>
    <n v="12"/>
    <n v="86"/>
    <x v="0"/>
    <n v="1044444.4444444445"/>
    <x v="0"/>
    <x v="44"/>
  </r>
  <r>
    <x v="1"/>
    <n v="118000000"/>
    <n v="118"/>
    <n v="2"/>
    <n v="210"/>
    <n v="15"/>
    <n v="88"/>
    <x v="2"/>
    <n v="1000000"/>
    <x v="0"/>
    <x v="45"/>
  </r>
  <r>
    <x v="2"/>
    <n v="136000000"/>
    <n v="131"/>
    <n v="1"/>
    <n v="145"/>
    <n v="19"/>
    <n v="92"/>
    <x v="2"/>
    <n v="1038167.9389312977"/>
    <x v="0"/>
    <x v="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E9213E-E1A9-4E79-A184-103B6C4D90F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79:I86" firstHeaderRow="1" firstDataRow="2" firstDataCol="1"/>
  <pivotFields count="11">
    <pivotField axis="axisCol" showAll="0">
      <items count="8">
        <item x="2"/>
        <item x="4"/>
        <item x="1"/>
        <item x="6"/>
        <item x="5"/>
        <item x="0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price" fld="1" baseField="0" baseItem="0"/>
  </dataFields>
  <chartFormats count="42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6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7" count="1" selected="0">
            <x v="4"/>
          </reference>
        </references>
      </pivotArea>
    </chartFormat>
    <chartFormat chart="6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7" count="1" selected="0">
            <x v="3"/>
          </reference>
        </references>
      </pivotArea>
    </chartFormat>
    <chartFormat chart="6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7" count="1" selected="0">
            <x v="0"/>
          </reference>
        </references>
      </pivotArea>
    </chartFormat>
    <chartFormat chart="6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7" count="1" selected="0">
            <x v="1"/>
          </reference>
        </references>
      </pivotArea>
    </chartFormat>
    <chartFormat chart="6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7" count="1" selected="0">
            <x v="2"/>
          </reference>
        </references>
      </pivotArea>
    </chartFormat>
    <chartFormat chart="6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7" count="1" selected="0">
            <x v="0"/>
          </reference>
        </references>
      </pivotArea>
    </chartFormat>
    <chartFormat chart="6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7" count="1" selected="0">
            <x v="1"/>
          </reference>
        </references>
      </pivotArea>
    </chartFormat>
    <chartFormat chart="6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7" count="1" selected="0">
            <x v="2"/>
          </reference>
        </references>
      </pivotArea>
    </chartFormat>
    <chartFormat chart="6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7" count="1" selected="0">
            <x v="3"/>
          </reference>
        </references>
      </pivotArea>
    </chartFormat>
    <chartFormat chart="6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7" count="1" selected="0">
            <x v="4"/>
          </reference>
        </references>
      </pivotArea>
    </chartFormat>
    <chartFormat chart="6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7" count="1" selected="0">
            <x v="0"/>
          </reference>
        </references>
      </pivotArea>
    </chartFormat>
    <chartFormat chart="6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7" count="1" selected="0">
            <x v="1"/>
          </reference>
        </references>
      </pivotArea>
    </chartFormat>
    <chartFormat chart="6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7" count="1" selected="0">
            <x v="2"/>
          </reference>
        </references>
      </pivotArea>
    </chartFormat>
    <chartFormat chart="6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7" count="1" selected="0">
            <x v="3"/>
          </reference>
        </references>
      </pivotArea>
    </chartFormat>
    <chartFormat chart="6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7" count="1" selected="0">
            <x v="4"/>
          </reference>
        </references>
      </pivotArea>
    </chartFormat>
    <chartFormat chart="6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7" count="1" selected="0">
            <x v="0"/>
          </reference>
        </references>
      </pivotArea>
    </chartFormat>
    <chartFormat chart="6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7" count="1" selected="0">
            <x v="1"/>
          </reference>
        </references>
      </pivotArea>
    </chartFormat>
    <chartFormat chart="6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7" count="1" selected="0">
            <x v="2"/>
          </reference>
        </references>
      </pivotArea>
    </chartFormat>
    <chartFormat chart="6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7" count="1" selected="0">
            <x v="3"/>
          </reference>
        </references>
      </pivotArea>
    </chartFormat>
    <chartFormat chart="6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7" count="1" selected="0">
            <x v="4"/>
          </reference>
        </references>
      </pivotArea>
    </chartFormat>
    <chartFormat chart="6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7" count="1" selected="0">
            <x v="0"/>
          </reference>
        </references>
      </pivotArea>
    </chartFormat>
    <chartFormat chart="6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7" count="1" selected="0">
            <x v="1"/>
          </reference>
        </references>
      </pivotArea>
    </chartFormat>
    <chartFormat chart="6" format="2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7" count="1" selected="0">
            <x v="2"/>
          </reference>
        </references>
      </pivotArea>
    </chartFormat>
    <chartFormat chart="6" format="3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7" count="1" selected="0">
            <x v="3"/>
          </reference>
        </references>
      </pivotArea>
    </chartFormat>
    <chartFormat chart="6" format="3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7" count="1" selected="0">
            <x v="4"/>
          </reference>
        </references>
      </pivotArea>
    </chartFormat>
    <chartFormat chart="6" format="32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7" count="1" selected="0">
            <x v="0"/>
          </reference>
        </references>
      </pivotArea>
    </chartFormat>
    <chartFormat chart="6" format="33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7" count="1" selected="0">
            <x v="1"/>
          </reference>
        </references>
      </pivotArea>
    </chartFormat>
    <chartFormat chart="6" format="34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7" count="1" selected="0">
            <x v="2"/>
          </reference>
        </references>
      </pivotArea>
    </chartFormat>
    <chartFormat chart="6" format="3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7" count="1" selected="0">
            <x v="3"/>
          </reference>
        </references>
      </pivotArea>
    </chartFormat>
    <chartFormat chart="6" format="36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7" count="1" selected="0">
            <x v="4"/>
          </reference>
        </references>
      </pivotArea>
    </chartFormat>
    <chartFormat chart="6" format="37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7" count="1" selected="0">
            <x v="0"/>
          </reference>
        </references>
      </pivotArea>
    </chartFormat>
    <chartFormat chart="6" format="38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7" count="1" selected="0">
            <x v="1"/>
          </reference>
        </references>
      </pivotArea>
    </chartFormat>
    <chartFormat chart="6" format="39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7" count="1" selected="0">
            <x v="2"/>
          </reference>
        </references>
      </pivotArea>
    </chartFormat>
    <chartFormat chart="6" format="40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7" count="1" selected="0">
            <x v="3"/>
          </reference>
        </references>
      </pivotArea>
    </chartFormat>
    <chartFormat chart="6" format="4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BAD974-578A-484E-A0D1-55D3C3E7A0F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6:B74" firstHeaderRow="1" firstDataRow="1" firstDataCol="1" rowPageCount="1" colPageCount="1"/>
  <pivotFields count="11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axis="axisRow" showAll="0">
      <items count="48">
        <item x="37"/>
        <item x="13"/>
        <item x="31"/>
        <item x="25"/>
        <item x="46"/>
        <item x="7"/>
        <item x="41"/>
        <item x="19"/>
        <item x="12"/>
        <item x="36"/>
        <item x="2"/>
        <item x="45"/>
        <item x="24"/>
        <item x="40"/>
        <item x="6"/>
        <item x="30"/>
        <item x="18"/>
        <item x="44"/>
        <item x="11"/>
        <item x="35"/>
        <item x="23"/>
        <item x="0"/>
        <item x="17"/>
        <item x="29"/>
        <item x="5"/>
        <item x="39"/>
        <item x="15"/>
        <item x="27"/>
        <item x="9"/>
        <item x="21"/>
        <item x="33"/>
        <item x="4"/>
        <item x="34"/>
        <item x="22"/>
        <item x="16"/>
        <item x="28"/>
        <item x="10"/>
        <item x="43"/>
        <item x="20"/>
        <item x="32"/>
        <item x="42"/>
        <item x="8"/>
        <item x="38"/>
        <item x="14"/>
        <item x="26"/>
        <item x="3"/>
        <item x="1"/>
        <item t="default"/>
      </items>
    </pivotField>
  </pivotFields>
  <rowFields count="1">
    <field x="10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Items count="1">
    <i/>
  </colItems>
  <pageFields count="1">
    <pageField fld="9" hier="-1"/>
  </pageFields>
  <dataFields count="1">
    <dataField name="Sum of pric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A2717B-4D01-45C1-9425-2E523342F9D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D9" firstHeaderRow="0" firstDataRow="1" firstDataCol="1"/>
  <pivotFields count="11">
    <pivotField axis="axisRow" showAll="0">
      <items count="8">
        <item x="2"/>
        <item x="4"/>
        <item x="1"/>
        <item x="6"/>
        <item x="5"/>
        <item x="0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price" fld="1" subtotal="average" baseField="0" baseItem="0"/>
    <dataField name="Average of Price_per_sqm" fld="8" subtotal="average" baseField="0" baseItem="0"/>
    <dataField name="Count of Price_segment" fld="9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D02875-514E-48EC-927E-271926D7DDC5}" name="Table1" displayName="Table1" ref="A1:K51" totalsRowShown="0">
  <autoFilter ref="A1:K51" xr:uid="{B8D02875-514E-48EC-927E-271926D7DDC5}"/>
  <tableColumns count="11">
    <tableColumn id="1" xr3:uid="{A72C4436-4DFF-439D-804E-F1F95028ABE9}" name="ward"/>
    <tableColumn id="2" xr3:uid="{52D41079-2F4D-4B98-9CD1-2E3ADCDEB3F7}" name="price"/>
    <tableColumn id="3" xr3:uid="{CA59DC93-67EF-4FE5-82BC-8265D6012805}" name="size_sqm"/>
    <tableColumn id="4" xr3:uid="{CB562858-51D4-41C2-A3B7-F31BD9C70481}" name="age_years"/>
    <tableColumn id="5" xr3:uid="{B51E6FC3-F595-4FF2-8F49-C39AF534C572}" name="station_distance_m"/>
    <tableColumn id="6" xr3:uid="{5344123B-E3A3-412F-82FD-060063A32C3E}" name="floor"/>
    <tableColumn id="7" xr3:uid="{3EF8E71F-F7C2-48B6-91FF-96BFC5BFDBC1}" name="earthquake_safety_score"/>
    <tableColumn id="8" xr3:uid="{CB357D06-A4CA-4E30-BC96-26912E800616}" name="layout"/>
    <tableColumn id="9" xr3:uid="{EBB8E248-DA80-4EF6-AC2D-E269FA43209A}" name="Price_per_sqm" dataDxfId="2">
      <calculatedColumnFormula>B2/C2</calculatedColumnFormula>
    </tableColumn>
    <tableColumn id="10" xr3:uid="{84A16987-0BA5-46A3-96DA-DF30600562F8}" name="Price_segment" dataDxfId="1">
      <calculatedColumnFormula>IF(B2&gt;80000000,"Premium","Standard")</calculatedColumnFormula>
    </tableColumn>
    <tableColumn id="11" xr3:uid="{CD2E5452-AF44-4EA6-A33C-15C65C1CD89A}" name="Walking_time" dataDxfId="0">
      <calculatedColumnFormula>E2/80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B5662-B54F-4F1D-8A49-C94333F7E899}">
  <dimension ref="A1:AA51"/>
  <sheetViews>
    <sheetView topLeftCell="A22" zoomScale="120" zoomScaleNormal="120" workbookViewId="0">
      <selection activeCell="K31" sqref="K31"/>
    </sheetView>
  </sheetViews>
  <sheetFormatPr defaultRowHeight="15" x14ac:dyDescent="0.25"/>
  <cols>
    <col min="1" max="1" width="15.140625" customWidth="1"/>
    <col min="2" max="2" width="13.85546875" customWidth="1"/>
    <col min="3" max="3" width="14.5703125" customWidth="1"/>
    <col min="4" max="4" width="14.7109375" customWidth="1"/>
    <col min="5" max="5" width="22.85546875" customWidth="1"/>
    <col min="6" max="6" width="10.42578125" customWidth="1"/>
    <col min="7" max="7" width="29.85546875" customWidth="1"/>
    <col min="8" max="8" width="14.42578125" customWidth="1"/>
    <col min="9" max="9" width="17.140625" customWidth="1"/>
    <col min="10" max="10" width="18.7109375" customWidth="1"/>
    <col min="11" max="11" width="20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20</v>
      </c>
      <c r="J1" t="s">
        <v>21</v>
      </c>
      <c r="K1" t="s">
        <v>22</v>
      </c>
    </row>
    <row r="2" spans="1:11" x14ac:dyDescent="0.25">
      <c r="A2" t="s">
        <v>8</v>
      </c>
      <c r="B2">
        <v>85000000</v>
      </c>
      <c r="C2">
        <v>85</v>
      </c>
      <c r="D2">
        <v>5</v>
      </c>
      <c r="E2">
        <v>350</v>
      </c>
      <c r="F2">
        <v>8</v>
      </c>
      <c r="G2">
        <v>85</v>
      </c>
      <c r="H2" t="s">
        <v>9</v>
      </c>
      <c r="I2">
        <f t="shared" ref="I2:I33" si="0">B2/C2</f>
        <v>1000000</v>
      </c>
      <c r="J2" t="str">
        <f t="shared" ref="J2:J33" si="1">IF(B2&gt;80000000,"Premium","Standard")</f>
        <v>Premium</v>
      </c>
      <c r="K2">
        <f t="shared" ref="K2:K33" si="2">E2/80</f>
        <v>4.375</v>
      </c>
    </row>
    <row r="3" spans="1:11" x14ac:dyDescent="0.25">
      <c r="A3" t="s">
        <v>10</v>
      </c>
      <c r="B3">
        <v>65000000</v>
      </c>
      <c r="C3">
        <v>65</v>
      </c>
      <c r="D3">
        <v>15</v>
      </c>
      <c r="E3">
        <v>800</v>
      </c>
      <c r="F3">
        <v>5</v>
      </c>
      <c r="G3">
        <v>75</v>
      </c>
      <c r="H3" t="s">
        <v>11</v>
      </c>
      <c r="I3">
        <f t="shared" si="0"/>
        <v>1000000</v>
      </c>
      <c r="J3" t="str">
        <f t="shared" si="1"/>
        <v>Standard</v>
      </c>
      <c r="K3">
        <f t="shared" si="2"/>
        <v>10</v>
      </c>
    </row>
    <row r="4" spans="1:11" x14ac:dyDescent="0.25">
      <c r="A4" t="s">
        <v>12</v>
      </c>
      <c r="B4">
        <v>120000000</v>
      </c>
      <c r="C4">
        <v>120</v>
      </c>
      <c r="D4">
        <v>2</v>
      </c>
      <c r="E4">
        <v>200</v>
      </c>
      <c r="F4">
        <v>12</v>
      </c>
      <c r="G4">
        <v>90</v>
      </c>
      <c r="H4" t="s">
        <v>13</v>
      </c>
      <c r="I4">
        <f t="shared" si="0"/>
        <v>1000000</v>
      </c>
      <c r="J4" t="str">
        <f t="shared" si="1"/>
        <v>Premium</v>
      </c>
      <c r="K4">
        <f t="shared" si="2"/>
        <v>2.5</v>
      </c>
    </row>
    <row r="5" spans="1:11" x14ac:dyDescent="0.25">
      <c r="A5" t="s">
        <v>14</v>
      </c>
      <c r="B5">
        <v>45000000</v>
      </c>
      <c r="C5">
        <v>45</v>
      </c>
      <c r="D5">
        <v>25</v>
      </c>
      <c r="E5">
        <v>600</v>
      </c>
      <c r="F5">
        <v>3</v>
      </c>
      <c r="G5">
        <v>65</v>
      </c>
      <c r="H5" t="s">
        <v>15</v>
      </c>
      <c r="I5">
        <f t="shared" si="0"/>
        <v>1000000</v>
      </c>
      <c r="J5" t="str">
        <f t="shared" si="1"/>
        <v>Standard</v>
      </c>
      <c r="K5">
        <f t="shared" si="2"/>
        <v>7.5</v>
      </c>
    </row>
    <row r="6" spans="1:11" x14ac:dyDescent="0.25">
      <c r="A6" t="s">
        <v>16</v>
      </c>
      <c r="B6">
        <v>95000000</v>
      </c>
      <c r="C6">
        <v>95</v>
      </c>
      <c r="D6">
        <v>8</v>
      </c>
      <c r="E6">
        <v>450</v>
      </c>
      <c r="F6">
        <v>10</v>
      </c>
      <c r="G6">
        <v>80</v>
      </c>
      <c r="H6" t="s">
        <v>9</v>
      </c>
      <c r="I6">
        <f t="shared" si="0"/>
        <v>1000000</v>
      </c>
      <c r="J6" t="str">
        <f t="shared" si="1"/>
        <v>Premium</v>
      </c>
      <c r="K6">
        <f t="shared" si="2"/>
        <v>5.625</v>
      </c>
    </row>
    <row r="7" spans="1:11" x14ac:dyDescent="0.25">
      <c r="A7" t="s">
        <v>8</v>
      </c>
      <c r="B7">
        <v>78000000</v>
      </c>
      <c r="C7">
        <v>78</v>
      </c>
      <c r="D7">
        <v>7</v>
      </c>
      <c r="E7">
        <v>380</v>
      </c>
      <c r="F7">
        <v>7</v>
      </c>
      <c r="G7">
        <v>82</v>
      </c>
      <c r="H7" t="s">
        <v>9</v>
      </c>
      <c r="I7">
        <f t="shared" si="0"/>
        <v>1000000</v>
      </c>
      <c r="J7" t="str">
        <f t="shared" si="1"/>
        <v>Standard</v>
      </c>
      <c r="K7">
        <f t="shared" si="2"/>
        <v>4.75</v>
      </c>
    </row>
    <row r="8" spans="1:11" x14ac:dyDescent="0.25">
      <c r="A8" t="s">
        <v>10</v>
      </c>
      <c r="B8">
        <v>110000000</v>
      </c>
      <c r="C8">
        <v>105</v>
      </c>
      <c r="D8">
        <v>3</v>
      </c>
      <c r="E8">
        <v>250</v>
      </c>
      <c r="F8">
        <v>15</v>
      </c>
      <c r="G8">
        <v>88</v>
      </c>
      <c r="H8" t="s">
        <v>13</v>
      </c>
      <c r="I8">
        <f t="shared" si="0"/>
        <v>1047619.0476190476</v>
      </c>
      <c r="J8" t="str">
        <f t="shared" si="1"/>
        <v>Premium</v>
      </c>
      <c r="K8">
        <f t="shared" si="2"/>
        <v>3.125</v>
      </c>
    </row>
    <row r="9" spans="1:11" x14ac:dyDescent="0.25">
      <c r="A9" t="s">
        <v>12</v>
      </c>
      <c r="B9">
        <v>135000000</v>
      </c>
      <c r="C9">
        <v>130</v>
      </c>
      <c r="D9">
        <v>1</v>
      </c>
      <c r="E9">
        <v>150</v>
      </c>
      <c r="F9">
        <v>20</v>
      </c>
      <c r="G9">
        <v>92</v>
      </c>
      <c r="H9" t="s">
        <v>13</v>
      </c>
      <c r="I9">
        <f t="shared" si="0"/>
        <v>1038461.5384615385</v>
      </c>
      <c r="J9" t="str">
        <f t="shared" si="1"/>
        <v>Premium</v>
      </c>
      <c r="K9">
        <f t="shared" si="2"/>
        <v>1.875</v>
      </c>
    </row>
    <row r="10" spans="1:11" x14ac:dyDescent="0.25">
      <c r="A10" t="s">
        <v>14</v>
      </c>
      <c r="B10">
        <v>55000000</v>
      </c>
      <c r="C10">
        <v>55</v>
      </c>
      <c r="D10">
        <v>20</v>
      </c>
      <c r="E10">
        <v>550</v>
      </c>
      <c r="F10">
        <v>4</v>
      </c>
      <c r="G10">
        <v>70</v>
      </c>
      <c r="H10" t="s">
        <v>11</v>
      </c>
      <c r="I10">
        <f t="shared" si="0"/>
        <v>1000000</v>
      </c>
      <c r="J10" t="str">
        <f t="shared" si="1"/>
        <v>Standard</v>
      </c>
      <c r="K10">
        <f t="shared" si="2"/>
        <v>6.875</v>
      </c>
    </row>
    <row r="11" spans="1:11" x14ac:dyDescent="0.25">
      <c r="A11" t="s">
        <v>16</v>
      </c>
      <c r="B11">
        <v>82000000</v>
      </c>
      <c r="C11">
        <v>82</v>
      </c>
      <c r="D11">
        <v>10</v>
      </c>
      <c r="E11">
        <v>420</v>
      </c>
      <c r="F11">
        <v>9</v>
      </c>
      <c r="G11">
        <v>78</v>
      </c>
      <c r="H11" t="s">
        <v>9</v>
      </c>
      <c r="I11">
        <f t="shared" si="0"/>
        <v>1000000</v>
      </c>
      <c r="J11" t="str">
        <f t="shared" si="1"/>
        <v>Premium</v>
      </c>
      <c r="K11">
        <f t="shared" si="2"/>
        <v>5.25</v>
      </c>
    </row>
    <row r="12" spans="1:11" x14ac:dyDescent="0.25">
      <c r="A12" t="s">
        <v>19</v>
      </c>
      <c r="B12">
        <v>68000000</v>
      </c>
      <c r="C12">
        <v>68</v>
      </c>
      <c r="D12">
        <v>12</v>
      </c>
      <c r="E12">
        <v>500</v>
      </c>
      <c r="F12">
        <v>6</v>
      </c>
      <c r="G12">
        <v>72</v>
      </c>
      <c r="H12" t="s">
        <v>11</v>
      </c>
      <c r="I12">
        <f t="shared" si="0"/>
        <v>1000000</v>
      </c>
      <c r="J12" t="str">
        <f t="shared" si="1"/>
        <v>Standard</v>
      </c>
      <c r="K12">
        <f t="shared" si="2"/>
        <v>6.25</v>
      </c>
    </row>
    <row r="13" spans="1:11" x14ac:dyDescent="0.25">
      <c r="A13" t="s">
        <v>8</v>
      </c>
      <c r="B13">
        <v>92000000</v>
      </c>
      <c r="C13">
        <v>88</v>
      </c>
      <c r="D13">
        <v>4</v>
      </c>
      <c r="E13">
        <v>320</v>
      </c>
      <c r="F13">
        <v>11</v>
      </c>
      <c r="G13">
        <v>84</v>
      </c>
      <c r="H13" t="s">
        <v>9</v>
      </c>
      <c r="I13">
        <f t="shared" si="0"/>
        <v>1045454.5454545454</v>
      </c>
      <c r="J13" t="str">
        <f t="shared" si="1"/>
        <v>Premium</v>
      </c>
      <c r="K13">
        <f t="shared" si="2"/>
        <v>4</v>
      </c>
    </row>
    <row r="14" spans="1:11" x14ac:dyDescent="0.25">
      <c r="A14" t="s">
        <v>10</v>
      </c>
      <c r="B14">
        <v>125000000</v>
      </c>
      <c r="C14">
        <v>115</v>
      </c>
      <c r="D14">
        <v>2</v>
      </c>
      <c r="E14">
        <v>180</v>
      </c>
      <c r="F14">
        <v>18</v>
      </c>
      <c r="G14">
        <v>89</v>
      </c>
      <c r="H14" t="s">
        <v>13</v>
      </c>
      <c r="I14">
        <f t="shared" si="0"/>
        <v>1086956.5217391304</v>
      </c>
      <c r="J14" t="str">
        <f t="shared" si="1"/>
        <v>Premium</v>
      </c>
      <c r="K14">
        <f t="shared" si="2"/>
        <v>2.25</v>
      </c>
    </row>
    <row r="15" spans="1:11" x14ac:dyDescent="0.25">
      <c r="A15" t="s">
        <v>12</v>
      </c>
      <c r="B15">
        <v>140000000</v>
      </c>
      <c r="C15">
        <v>135</v>
      </c>
      <c r="D15">
        <v>1</v>
      </c>
      <c r="E15">
        <v>120</v>
      </c>
      <c r="F15">
        <v>22</v>
      </c>
      <c r="G15">
        <v>93</v>
      </c>
      <c r="H15" t="s">
        <v>18</v>
      </c>
      <c r="I15">
        <f t="shared" si="0"/>
        <v>1037037.0370370371</v>
      </c>
      <c r="J15" t="str">
        <f t="shared" si="1"/>
        <v>Premium</v>
      </c>
      <c r="K15">
        <f t="shared" si="2"/>
        <v>1.5</v>
      </c>
    </row>
    <row r="16" spans="1:11" x14ac:dyDescent="0.25">
      <c r="A16" t="s">
        <v>14</v>
      </c>
      <c r="B16">
        <v>48000000</v>
      </c>
      <c r="C16">
        <v>48</v>
      </c>
      <c r="D16">
        <v>22</v>
      </c>
      <c r="E16">
        <v>580</v>
      </c>
      <c r="F16">
        <v>3</v>
      </c>
      <c r="G16">
        <v>68</v>
      </c>
      <c r="H16" t="s">
        <v>15</v>
      </c>
      <c r="I16">
        <f t="shared" si="0"/>
        <v>1000000</v>
      </c>
      <c r="J16" t="str">
        <f t="shared" si="1"/>
        <v>Standard</v>
      </c>
      <c r="K16">
        <f t="shared" si="2"/>
        <v>7.25</v>
      </c>
    </row>
    <row r="17" spans="1:11" x14ac:dyDescent="0.25">
      <c r="A17" t="s">
        <v>16</v>
      </c>
      <c r="B17">
        <v>88000000</v>
      </c>
      <c r="C17">
        <v>90</v>
      </c>
      <c r="D17">
        <v>6</v>
      </c>
      <c r="E17">
        <v>400</v>
      </c>
      <c r="F17">
        <v>12</v>
      </c>
      <c r="G17">
        <v>81</v>
      </c>
      <c r="H17" t="s">
        <v>9</v>
      </c>
      <c r="I17">
        <f t="shared" si="0"/>
        <v>977777.77777777775</v>
      </c>
      <c r="J17" t="str">
        <f t="shared" si="1"/>
        <v>Premium</v>
      </c>
      <c r="K17">
        <f t="shared" si="2"/>
        <v>5</v>
      </c>
    </row>
    <row r="18" spans="1:11" x14ac:dyDescent="0.25">
      <c r="A18" t="s">
        <v>17</v>
      </c>
      <c r="B18">
        <v>72000000</v>
      </c>
      <c r="C18">
        <v>72</v>
      </c>
      <c r="D18">
        <v>8</v>
      </c>
      <c r="E18">
        <v>480</v>
      </c>
      <c r="F18">
        <v>7</v>
      </c>
      <c r="G18">
        <v>75</v>
      </c>
      <c r="H18" t="s">
        <v>11</v>
      </c>
      <c r="I18">
        <f t="shared" si="0"/>
        <v>1000000</v>
      </c>
      <c r="J18" t="str">
        <f t="shared" si="1"/>
        <v>Standard</v>
      </c>
      <c r="K18">
        <f t="shared" si="2"/>
        <v>6</v>
      </c>
    </row>
    <row r="19" spans="1:11" x14ac:dyDescent="0.25">
      <c r="A19" t="s">
        <v>8</v>
      </c>
      <c r="B19">
        <v>81000000</v>
      </c>
      <c r="C19">
        <v>80</v>
      </c>
      <c r="D19">
        <v>6</v>
      </c>
      <c r="E19">
        <v>360</v>
      </c>
      <c r="F19">
        <v>8</v>
      </c>
      <c r="G19">
        <v>83</v>
      </c>
      <c r="H19" t="s">
        <v>9</v>
      </c>
      <c r="I19">
        <f t="shared" si="0"/>
        <v>1012500</v>
      </c>
      <c r="J19" t="str">
        <f t="shared" si="1"/>
        <v>Premium</v>
      </c>
      <c r="K19">
        <f t="shared" si="2"/>
        <v>4.5</v>
      </c>
    </row>
    <row r="20" spans="1:11" x14ac:dyDescent="0.25">
      <c r="A20" t="s">
        <v>10</v>
      </c>
      <c r="B20">
        <v>98000000</v>
      </c>
      <c r="C20">
        <v>95</v>
      </c>
      <c r="D20">
        <v>4</v>
      </c>
      <c r="E20">
        <v>280</v>
      </c>
      <c r="F20">
        <v>14</v>
      </c>
      <c r="G20">
        <v>87</v>
      </c>
      <c r="H20" t="s">
        <v>9</v>
      </c>
      <c r="I20">
        <f t="shared" si="0"/>
        <v>1031578.947368421</v>
      </c>
      <c r="J20" t="str">
        <f t="shared" si="1"/>
        <v>Premium</v>
      </c>
      <c r="K20">
        <f t="shared" si="2"/>
        <v>3.5</v>
      </c>
    </row>
    <row r="21" spans="1:11" x14ac:dyDescent="0.25">
      <c r="A21" t="s">
        <v>12</v>
      </c>
      <c r="B21">
        <v>128000000</v>
      </c>
      <c r="C21">
        <v>125</v>
      </c>
      <c r="D21">
        <v>1</v>
      </c>
      <c r="E21">
        <v>170</v>
      </c>
      <c r="F21">
        <v>19</v>
      </c>
      <c r="G21">
        <v>91</v>
      </c>
      <c r="H21" t="s">
        <v>13</v>
      </c>
      <c r="I21">
        <f t="shared" si="0"/>
        <v>1024000</v>
      </c>
      <c r="J21" t="str">
        <f t="shared" si="1"/>
        <v>Premium</v>
      </c>
      <c r="K21">
        <f t="shared" si="2"/>
        <v>2.125</v>
      </c>
    </row>
    <row r="22" spans="1:11" x14ac:dyDescent="0.25">
      <c r="A22" t="s">
        <v>14</v>
      </c>
      <c r="B22">
        <v>52000000</v>
      </c>
      <c r="C22">
        <v>52</v>
      </c>
      <c r="D22">
        <v>18</v>
      </c>
      <c r="E22">
        <v>520</v>
      </c>
      <c r="F22">
        <v>5</v>
      </c>
      <c r="G22">
        <v>69</v>
      </c>
      <c r="H22" t="s">
        <v>11</v>
      </c>
      <c r="I22">
        <f t="shared" si="0"/>
        <v>1000000</v>
      </c>
      <c r="J22" t="str">
        <f t="shared" si="1"/>
        <v>Standard</v>
      </c>
      <c r="K22">
        <f t="shared" si="2"/>
        <v>6.5</v>
      </c>
    </row>
    <row r="23" spans="1:11" x14ac:dyDescent="0.25">
      <c r="A23" t="s">
        <v>16</v>
      </c>
      <c r="B23">
        <v>91000000</v>
      </c>
      <c r="C23">
        <v>92</v>
      </c>
      <c r="D23">
        <v>7</v>
      </c>
      <c r="E23">
        <v>430</v>
      </c>
      <c r="F23">
        <v>11</v>
      </c>
      <c r="G23">
        <v>82</v>
      </c>
      <c r="H23" t="s">
        <v>9</v>
      </c>
      <c r="I23">
        <f t="shared" si="0"/>
        <v>989130.43478260865</v>
      </c>
      <c r="J23" t="str">
        <f t="shared" si="1"/>
        <v>Premium</v>
      </c>
      <c r="K23">
        <f t="shared" si="2"/>
        <v>5.375</v>
      </c>
    </row>
    <row r="24" spans="1:11" x14ac:dyDescent="0.25">
      <c r="A24" t="s">
        <v>17</v>
      </c>
      <c r="B24">
        <v>75000000</v>
      </c>
      <c r="C24">
        <v>75</v>
      </c>
      <c r="D24">
        <v>10</v>
      </c>
      <c r="E24">
        <v>470</v>
      </c>
      <c r="F24">
        <v>8</v>
      </c>
      <c r="G24">
        <v>76</v>
      </c>
      <c r="H24" t="s">
        <v>11</v>
      </c>
      <c r="I24">
        <f t="shared" si="0"/>
        <v>1000000</v>
      </c>
      <c r="J24" t="str">
        <f t="shared" si="1"/>
        <v>Standard</v>
      </c>
      <c r="K24">
        <f t="shared" si="2"/>
        <v>5.875</v>
      </c>
    </row>
    <row r="25" spans="1:11" x14ac:dyDescent="0.25">
      <c r="A25" t="s">
        <v>8</v>
      </c>
      <c r="B25">
        <v>89000000</v>
      </c>
      <c r="C25">
        <v>86</v>
      </c>
      <c r="D25">
        <v>5</v>
      </c>
      <c r="E25">
        <v>340</v>
      </c>
      <c r="F25">
        <v>9</v>
      </c>
      <c r="G25">
        <v>85</v>
      </c>
      <c r="H25" t="s">
        <v>9</v>
      </c>
      <c r="I25">
        <f t="shared" si="0"/>
        <v>1034883.7209302326</v>
      </c>
      <c r="J25" t="str">
        <f t="shared" si="1"/>
        <v>Premium</v>
      </c>
      <c r="K25">
        <f t="shared" si="2"/>
        <v>4.25</v>
      </c>
    </row>
    <row r="26" spans="1:11" x14ac:dyDescent="0.25">
      <c r="A26" t="s">
        <v>10</v>
      </c>
      <c r="B26">
        <v>115000000</v>
      </c>
      <c r="C26">
        <v>110</v>
      </c>
      <c r="D26">
        <v>3</v>
      </c>
      <c r="E26">
        <v>230</v>
      </c>
      <c r="F26">
        <v>16</v>
      </c>
      <c r="G26">
        <v>88</v>
      </c>
      <c r="H26" t="s">
        <v>13</v>
      </c>
      <c r="I26">
        <f t="shared" si="0"/>
        <v>1045454.5454545454</v>
      </c>
      <c r="J26" t="str">
        <f t="shared" si="1"/>
        <v>Premium</v>
      </c>
      <c r="K26">
        <f t="shared" si="2"/>
        <v>2.875</v>
      </c>
    </row>
    <row r="27" spans="1:11" x14ac:dyDescent="0.25">
      <c r="A27" t="s">
        <v>12</v>
      </c>
      <c r="B27">
        <v>132000000</v>
      </c>
      <c r="C27">
        <v>128</v>
      </c>
      <c r="D27">
        <v>1</v>
      </c>
      <c r="E27">
        <v>140</v>
      </c>
      <c r="F27">
        <v>21</v>
      </c>
      <c r="G27">
        <v>92</v>
      </c>
      <c r="H27" t="s">
        <v>13</v>
      </c>
      <c r="I27">
        <f t="shared" si="0"/>
        <v>1031250</v>
      </c>
      <c r="J27" t="str">
        <f t="shared" si="1"/>
        <v>Premium</v>
      </c>
      <c r="K27">
        <f t="shared" si="2"/>
        <v>1.75</v>
      </c>
    </row>
    <row r="28" spans="1:11" x14ac:dyDescent="0.25">
      <c r="A28" t="s">
        <v>14</v>
      </c>
      <c r="B28">
        <v>47000000</v>
      </c>
      <c r="C28">
        <v>47</v>
      </c>
      <c r="D28">
        <v>24</v>
      </c>
      <c r="E28">
        <v>590</v>
      </c>
      <c r="F28">
        <v>3</v>
      </c>
      <c r="G28">
        <v>67</v>
      </c>
      <c r="H28" t="s">
        <v>15</v>
      </c>
      <c r="I28">
        <f t="shared" si="0"/>
        <v>1000000</v>
      </c>
      <c r="J28" t="str">
        <f t="shared" si="1"/>
        <v>Standard</v>
      </c>
      <c r="K28">
        <f t="shared" si="2"/>
        <v>7.375</v>
      </c>
    </row>
    <row r="29" spans="1:11" x14ac:dyDescent="0.25">
      <c r="A29" t="s">
        <v>16</v>
      </c>
      <c r="B29">
        <v>84000000</v>
      </c>
      <c r="C29">
        <v>84</v>
      </c>
      <c r="D29">
        <v>9</v>
      </c>
      <c r="E29">
        <v>410</v>
      </c>
      <c r="F29">
        <v>10</v>
      </c>
      <c r="G29">
        <v>79</v>
      </c>
      <c r="H29" t="s">
        <v>9</v>
      </c>
      <c r="I29">
        <f t="shared" si="0"/>
        <v>1000000</v>
      </c>
      <c r="J29" t="str">
        <f t="shared" si="1"/>
        <v>Premium</v>
      </c>
      <c r="K29">
        <f t="shared" si="2"/>
        <v>5.125</v>
      </c>
    </row>
    <row r="30" spans="1:11" x14ac:dyDescent="0.25">
      <c r="A30" t="s">
        <v>17</v>
      </c>
      <c r="B30">
        <v>69000000</v>
      </c>
      <c r="C30">
        <v>70</v>
      </c>
      <c r="D30">
        <v>11</v>
      </c>
      <c r="E30">
        <v>490</v>
      </c>
      <c r="F30">
        <v>6</v>
      </c>
      <c r="G30">
        <v>73</v>
      </c>
      <c r="H30" t="s">
        <v>11</v>
      </c>
      <c r="I30">
        <f t="shared" si="0"/>
        <v>985714.28571428568</v>
      </c>
      <c r="J30" t="str">
        <f t="shared" si="1"/>
        <v>Standard</v>
      </c>
      <c r="K30">
        <f t="shared" si="2"/>
        <v>6.125</v>
      </c>
    </row>
    <row r="31" spans="1:11" x14ac:dyDescent="0.25">
      <c r="A31" t="s">
        <v>8</v>
      </c>
      <c r="B31">
        <v>83000000</v>
      </c>
      <c r="C31">
        <v>82</v>
      </c>
      <c r="D31">
        <v>6</v>
      </c>
      <c r="E31">
        <v>370</v>
      </c>
      <c r="F31">
        <v>8</v>
      </c>
      <c r="G31">
        <v>84</v>
      </c>
      <c r="H31" t="s">
        <v>9</v>
      </c>
      <c r="I31">
        <f t="shared" si="0"/>
        <v>1012195.1219512195</v>
      </c>
      <c r="J31" t="str">
        <f t="shared" si="1"/>
        <v>Premium</v>
      </c>
      <c r="K31">
        <f t="shared" si="2"/>
        <v>4.625</v>
      </c>
    </row>
    <row r="32" spans="1:11" x14ac:dyDescent="0.25">
      <c r="A32" t="s">
        <v>10</v>
      </c>
      <c r="B32">
        <v>105000000</v>
      </c>
      <c r="C32">
        <v>100</v>
      </c>
      <c r="D32">
        <v>4</v>
      </c>
      <c r="E32">
        <v>260</v>
      </c>
      <c r="F32">
        <v>13</v>
      </c>
      <c r="G32">
        <v>86</v>
      </c>
      <c r="H32" t="s">
        <v>9</v>
      </c>
      <c r="I32">
        <f t="shared" si="0"/>
        <v>1050000</v>
      </c>
      <c r="J32" t="str">
        <f t="shared" si="1"/>
        <v>Premium</v>
      </c>
      <c r="K32">
        <f t="shared" si="2"/>
        <v>3.25</v>
      </c>
    </row>
    <row r="33" spans="1:27" x14ac:dyDescent="0.25">
      <c r="A33" t="s">
        <v>12</v>
      </c>
      <c r="B33">
        <v>138000000</v>
      </c>
      <c r="C33">
        <v>132</v>
      </c>
      <c r="D33">
        <v>1</v>
      </c>
      <c r="E33">
        <v>130</v>
      </c>
      <c r="F33">
        <v>20</v>
      </c>
      <c r="G33">
        <v>93</v>
      </c>
      <c r="H33" t="s">
        <v>18</v>
      </c>
      <c r="I33">
        <f t="shared" si="0"/>
        <v>1045454.5454545454</v>
      </c>
      <c r="J33" t="str">
        <f t="shared" si="1"/>
        <v>Premium</v>
      </c>
      <c r="K33">
        <f t="shared" si="2"/>
        <v>1.625</v>
      </c>
    </row>
    <row r="34" spans="1:27" x14ac:dyDescent="0.25">
      <c r="A34" t="s">
        <v>14</v>
      </c>
      <c r="B34">
        <v>53000000</v>
      </c>
      <c r="C34">
        <v>53</v>
      </c>
      <c r="D34">
        <v>19</v>
      </c>
      <c r="E34">
        <v>530</v>
      </c>
      <c r="F34">
        <v>4</v>
      </c>
      <c r="G34">
        <v>70</v>
      </c>
      <c r="H34" t="s">
        <v>11</v>
      </c>
      <c r="I34">
        <f t="shared" ref="I34:I51" si="3">B34/C34</f>
        <v>1000000</v>
      </c>
      <c r="J34" t="str">
        <f t="shared" ref="J34:J51" si="4">IF(B34&gt;80000000,"Premium","Standard")</f>
        <v>Standard</v>
      </c>
      <c r="K34">
        <f t="shared" ref="K34:K51" si="5">E34/80</f>
        <v>6.625</v>
      </c>
    </row>
    <row r="35" spans="1:27" x14ac:dyDescent="0.25">
      <c r="A35" t="s">
        <v>16</v>
      </c>
      <c r="B35">
        <v>87000000</v>
      </c>
      <c r="C35">
        <v>88</v>
      </c>
      <c r="D35">
        <v>7</v>
      </c>
      <c r="E35">
        <v>440</v>
      </c>
      <c r="F35">
        <v>11</v>
      </c>
      <c r="G35">
        <v>80</v>
      </c>
      <c r="H35" t="s">
        <v>9</v>
      </c>
      <c r="I35">
        <f t="shared" si="3"/>
        <v>988636.36363636365</v>
      </c>
      <c r="J35" t="str">
        <f t="shared" si="4"/>
        <v>Premium</v>
      </c>
      <c r="K35">
        <f t="shared" si="5"/>
        <v>5.5</v>
      </c>
    </row>
    <row r="36" spans="1:27" x14ac:dyDescent="0.25">
      <c r="A36" t="s">
        <v>17</v>
      </c>
      <c r="B36">
        <v>71000000</v>
      </c>
      <c r="C36">
        <v>71</v>
      </c>
      <c r="D36">
        <v>9</v>
      </c>
      <c r="E36">
        <v>460</v>
      </c>
      <c r="F36">
        <v>7</v>
      </c>
      <c r="G36">
        <v>74</v>
      </c>
      <c r="H36" t="s">
        <v>11</v>
      </c>
      <c r="I36">
        <f t="shared" si="3"/>
        <v>1000000</v>
      </c>
      <c r="J36" t="str">
        <f t="shared" si="4"/>
        <v>Standard</v>
      </c>
      <c r="K36">
        <f t="shared" si="5"/>
        <v>5.75</v>
      </c>
      <c r="AA36" cm="1">
        <f t="array" aca="1" ref="AA36" ca="1">AA36:AD36</f>
        <v>0</v>
      </c>
    </row>
    <row r="37" spans="1:27" x14ac:dyDescent="0.25">
      <c r="A37" t="s">
        <v>8</v>
      </c>
      <c r="B37">
        <v>86000000</v>
      </c>
      <c r="C37">
        <v>84</v>
      </c>
      <c r="D37">
        <v>5</v>
      </c>
      <c r="E37">
        <v>330</v>
      </c>
      <c r="F37">
        <v>10</v>
      </c>
      <c r="G37">
        <v>85</v>
      </c>
      <c r="H37" t="s">
        <v>9</v>
      </c>
      <c r="I37">
        <f t="shared" si="3"/>
        <v>1023809.5238095238</v>
      </c>
      <c r="J37" t="str">
        <f t="shared" si="4"/>
        <v>Premium</v>
      </c>
      <c r="K37">
        <f t="shared" si="5"/>
        <v>4.125</v>
      </c>
    </row>
    <row r="38" spans="1:27" x14ac:dyDescent="0.25">
      <c r="A38" t="s">
        <v>10</v>
      </c>
      <c r="B38">
        <v>121000000</v>
      </c>
      <c r="C38">
        <v>112</v>
      </c>
      <c r="D38">
        <v>2</v>
      </c>
      <c r="E38">
        <v>190</v>
      </c>
      <c r="F38">
        <v>17</v>
      </c>
      <c r="G38">
        <v>89</v>
      </c>
      <c r="H38" t="s">
        <v>13</v>
      </c>
      <c r="I38">
        <f t="shared" si="3"/>
        <v>1080357.142857143</v>
      </c>
      <c r="J38" t="str">
        <f t="shared" si="4"/>
        <v>Premium</v>
      </c>
      <c r="K38">
        <f t="shared" si="5"/>
        <v>2.375</v>
      </c>
    </row>
    <row r="39" spans="1:27" x14ac:dyDescent="0.25">
      <c r="A39" t="s">
        <v>12</v>
      </c>
      <c r="B39">
        <v>142000000</v>
      </c>
      <c r="C39">
        <v>138</v>
      </c>
      <c r="D39">
        <v>1</v>
      </c>
      <c r="E39">
        <v>110</v>
      </c>
      <c r="F39">
        <v>23</v>
      </c>
      <c r="G39">
        <v>94</v>
      </c>
      <c r="H39" t="s">
        <v>18</v>
      </c>
      <c r="I39">
        <f t="shared" si="3"/>
        <v>1028985.5072463768</v>
      </c>
      <c r="J39" t="str">
        <f t="shared" si="4"/>
        <v>Premium</v>
      </c>
      <c r="K39">
        <f t="shared" si="5"/>
        <v>1.375</v>
      </c>
    </row>
    <row r="40" spans="1:27" x14ac:dyDescent="0.25">
      <c r="A40" t="s">
        <v>14</v>
      </c>
      <c r="B40">
        <v>49000000</v>
      </c>
      <c r="C40">
        <v>49</v>
      </c>
      <c r="D40">
        <v>23</v>
      </c>
      <c r="E40">
        <v>570</v>
      </c>
      <c r="F40">
        <v>3</v>
      </c>
      <c r="G40">
        <v>68</v>
      </c>
      <c r="H40" t="s">
        <v>15</v>
      </c>
      <c r="I40">
        <f t="shared" si="3"/>
        <v>1000000</v>
      </c>
      <c r="J40" t="str">
        <f t="shared" si="4"/>
        <v>Standard</v>
      </c>
      <c r="K40">
        <f t="shared" si="5"/>
        <v>7.125</v>
      </c>
    </row>
    <row r="41" spans="1:27" x14ac:dyDescent="0.25">
      <c r="A41" t="s">
        <v>16</v>
      </c>
      <c r="B41">
        <v>93000000</v>
      </c>
      <c r="C41">
        <v>94</v>
      </c>
      <c r="D41">
        <v>8</v>
      </c>
      <c r="E41">
        <v>390</v>
      </c>
      <c r="F41">
        <v>13</v>
      </c>
      <c r="G41">
        <v>82</v>
      </c>
      <c r="H41" t="s">
        <v>9</v>
      </c>
      <c r="I41">
        <f t="shared" si="3"/>
        <v>989361.70212765958</v>
      </c>
      <c r="J41" t="str">
        <f t="shared" si="4"/>
        <v>Premium</v>
      </c>
      <c r="K41">
        <f t="shared" si="5"/>
        <v>4.875</v>
      </c>
    </row>
    <row r="42" spans="1:27" x14ac:dyDescent="0.25">
      <c r="A42" t="s">
        <v>17</v>
      </c>
      <c r="B42">
        <v>73000000</v>
      </c>
      <c r="C42">
        <v>73</v>
      </c>
      <c r="D42">
        <v>7</v>
      </c>
      <c r="E42">
        <v>450</v>
      </c>
      <c r="F42">
        <v>8</v>
      </c>
      <c r="G42">
        <v>75</v>
      </c>
      <c r="H42" t="s">
        <v>11</v>
      </c>
      <c r="I42">
        <f t="shared" si="3"/>
        <v>1000000</v>
      </c>
      <c r="J42" t="str">
        <f t="shared" si="4"/>
        <v>Standard</v>
      </c>
      <c r="K42">
        <f t="shared" si="5"/>
        <v>5.625</v>
      </c>
    </row>
    <row r="43" spans="1:27" x14ac:dyDescent="0.25">
      <c r="A43" t="s">
        <v>8</v>
      </c>
      <c r="B43">
        <v>80000000</v>
      </c>
      <c r="C43">
        <v>79</v>
      </c>
      <c r="D43">
        <v>7</v>
      </c>
      <c r="E43">
        <v>390</v>
      </c>
      <c r="F43">
        <v>7</v>
      </c>
      <c r="G43">
        <v>83</v>
      </c>
      <c r="H43" t="s">
        <v>9</v>
      </c>
      <c r="I43">
        <f t="shared" si="3"/>
        <v>1012658.2278481013</v>
      </c>
      <c r="J43" t="str">
        <f t="shared" si="4"/>
        <v>Standard</v>
      </c>
      <c r="K43">
        <f t="shared" si="5"/>
        <v>4.875</v>
      </c>
    </row>
    <row r="44" spans="1:27" x14ac:dyDescent="0.25">
      <c r="A44" t="s">
        <v>10</v>
      </c>
      <c r="B44">
        <v>108000000</v>
      </c>
      <c r="C44">
        <v>108</v>
      </c>
      <c r="D44">
        <v>3</v>
      </c>
      <c r="E44">
        <v>240</v>
      </c>
      <c r="F44">
        <v>14</v>
      </c>
      <c r="G44">
        <v>87</v>
      </c>
      <c r="H44" t="s">
        <v>13</v>
      </c>
      <c r="I44">
        <f t="shared" si="3"/>
        <v>1000000</v>
      </c>
      <c r="J44" t="str">
        <f t="shared" si="4"/>
        <v>Premium</v>
      </c>
      <c r="K44">
        <f t="shared" si="5"/>
        <v>3</v>
      </c>
    </row>
    <row r="45" spans="1:27" x14ac:dyDescent="0.25">
      <c r="A45" t="s">
        <v>12</v>
      </c>
      <c r="B45">
        <v>130000000</v>
      </c>
      <c r="C45">
        <v>126</v>
      </c>
      <c r="D45">
        <v>1</v>
      </c>
      <c r="E45">
        <v>160</v>
      </c>
      <c r="F45">
        <v>18</v>
      </c>
      <c r="G45">
        <v>91</v>
      </c>
      <c r="H45" t="s">
        <v>13</v>
      </c>
      <c r="I45">
        <f t="shared" si="3"/>
        <v>1031746.0317460317</v>
      </c>
      <c r="J45" t="str">
        <f t="shared" si="4"/>
        <v>Premium</v>
      </c>
      <c r="K45">
        <f t="shared" si="5"/>
        <v>2</v>
      </c>
    </row>
    <row r="46" spans="1:27" x14ac:dyDescent="0.25">
      <c r="A46" t="s">
        <v>14</v>
      </c>
      <c r="B46">
        <v>51000000</v>
      </c>
      <c r="C46">
        <v>51</v>
      </c>
      <c r="D46">
        <v>20</v>
      </c>
      <c r="E46">
        <v>540</v>
      </c>
      <c r="F46">
        <v>4</v>
      </c>
      <c r="G46">
        <v>69</v>
      </c>
      <c r="H46" t="s">
        <v>11</v>
      </c>
      <c r="I46">
        <f t="shared" si="3"/>
        <v>1000000</v>
      </c>
      <c r="J46" t="str">
        <f t="shared" si="4"/>
        <v>Standard</v>
      </c>
      <c r="K46">
        <f t="shared" si="5"/>
        <v>6.75</v>
      </c>
    </row>
    <row r="47" spans="1:27" x14ac:dyDescent="0.25">
      <c r="A47" t="s">
        <v>16</v>
      </c>
      <c r="B47">
        <v>85000000</v>
      </c>
      <c r="C47">
        <v>87</v>
      </c>
      <c r="D47">
        <v>10</v>
      </c>
      <c r="E47">
        <v>430</v>
      </c>
      <c r="F47">
        <v>9</v>
      </c>
      <c r="G47">
        <v>78</v>
      </c>
      <c r="H47" t="s">
        <v>9</v>
      </c>
      <c r="I47">
        <f t="shared" si="3"/>
        <v>977011.49425287358</v>
      </c>
      <c r="J47" t="str">
        <f t="shared" si="4"/>
        <v>Premium</v>
      </c>
      <c r="K47">
        <f t="shared" si="5"/>
        <v>5.375</v>
      </c>
    </row>
    <row r="48" spans="1:27" x14ac:dyDescent="0.25">
      <c r="A48" t="s">
        <v>17</v>
      </c>
      <c r="B48">
        <v>70000000</v>
      </c>
      <c r="C48">
        <v>69</v>
      </c>
      <c r="D48">
        <v>12</v>
      </c>
      <c r="E48">
        <v>510</v>
      </c>
      <c r="F48">
        <v>5</v>
      </c>
      <c r="G48">
        <v>72</v>
      </c>
      <c r="H48" t="s">
        <v>11</v>
      </c>
      <c r="I48">
        <f t="shared" si="3"/>
        <v>1014492.7536231884</v>
      </c>
      <c r="J48" t="str">
        <f t="shared" si="4"/>
        <v>Standard</v>
      </c>
      <c r="K48">
        <f t="shared" si="5"/>
        <v>6.375</v>
      </c>
    </row>
    <row r="49" spans="1:11" x14ac:dyDescent="0.25">
      <c r="A49" t="s">
        <v>8</v>
      </c>
      <c r="B49">
        <v>94000000</v>
      </c>
      <c r="C49">
        <v>90</v>
      </c>
      <c r="D49">
        <v>4</v>
      </c>
      <c r="E49">
        <v>310</v>
      </c>
      <c r="F49">
        <v>12</v>
      </c>
      <c r="G49">
        <v>86</v>
      </c>
      <c r="H49" t="s">
        <v>9</v>
      </c>
      <c r="I49">
        <f t="shared" si="3"/>
        <v>1044444.4444444445</v>
      </c>
      <c r="J49" t="str">
        <f t="shared" si="4"/>
        <v>Premium</v>
      </c>
      <c r="K49">
        <f t="shared" si="5"/>
        <v>3.875</v>
      </c>
    </row>
    <row r="50" spans="1:11" x14ac:dyDescent="0.25">
      <c r="A50" t="s">
        <v>10</v>
      </c>
      <c r="B50">
        <v>118000000</v>
      </c>
      <c r="C50">
        <v>118</v>
      </c>
      <c r="D50">
        <v>2</v>
      </c>
      <c r="E50">
        <v>210</v>
      </c>
      <c r="F50">
        <v>15</v>
      </c>
      <c r="G50">
        <v>88</v>
      </c>
      <c r="H50" t="s">
        <v>13</v>
      </c>
      <c r="I50">
        <f t="shared" si="3"/>
        <v>1000000</v>
      </c>
      <c r="J50" t="str">
        <f t="shared" si="4"/>
        <v>Premium</v>
      </c>
      <c r="K50">
        <f t="shared" si="5"/>
        <v>2.625</v>
      </c>
    </row>
    <row r="51" spans="1:11" x14ac:dyDescent="0.25">
      <c r="A51" t="s">
        <v>12</v>
      </c>
      <c r="B51">
        <v>136000000</v>
      </c>
      <c r="C51">
        <v>131</v>
      </c>
      <c r="D51">
        <v>1</v>
      </c>
      <c r="E51">
        <v>145</v>
      </c>
      <c r="F51">
        <v>19</v>
      </c>
      <c r="G51">
        <v>92</v>
      </c>
      <c r="H51" t="s">
        <v>13</v>
      </c>
      <c r="I51">
        <f t="shared" si="3"/>
        <v>1038167.9389312977</v>
      </c>
      <c r="J51" t="str">
        <f t="shared" si="4"/>
        <v>Premium</v>
      </c>
      <c r="K51">
        <f t="shared" si="5"/>
        <v>1.8125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A664-43A4-4A4C-AE97-B86588585EFB}">
  <dimension ref="A1:I86"/>
  <sheetViews>
    <sheetView tabSelected="1" topLeftCell="A79" zoomScale="120" zoomScaleNormal="120" workbookViewId="0">
      <selection activeCell="Q82" sqref="Q82"/>
    </sheetView>
  </sheetViews>
  <sheetFormatPr defaultRowHeight="15" x14ac:dyDescent="0.25"/>
  <cols>
    <col min="1" max="1" width="14.28515625" bestFit="1" customWidth="1"/>
    <col min="2" max="2" width="12.42578125" bestFit="1" customWidth="1"/>
    <col min="3" max="3" width="24.42578125" customWidth="1"/>
    <col min="4" max="4" width="21.85546875" customWidth="1"/>
    <col min="5" max="5" width="10" bestFit="1" customWidth="1"/>
    <col min="6" max="6" width="9.28515625" bestFit="1" customWidth="1"/>
    <col min="7" max="8" width="10" bestFit="1" customWidth="1"/>
    <col min="9" max="9" width="11.28515625" bestFit="1" customWidth="1"/>
  </cols>
  <sheetData>
    <row r="1" spans="1:4" x14ac:dyDescent="0.25">
      <c r="A1" s="1" t="s">
        <v>23</v>
      </c>
      <c r="B1" t="s">
        <v>28</v>
      </c>
      <c r="C1" t="s">
        <v>29</v>
      </c>
      <c r="D1" t="s">
        <v>26</v>
      </c>
    </row>
    <row r="2" spans="1:4" x14ac:dyDescent="0.25">
      <c r="A2" s="2" t="s">
        <v>12</v>
      </c>
      <c r="B2">
        <v>133444444.44444445</v>
      </c>
      <c r="C2">
        <v>1030566.9554307585</v>
      </c>
      <c r="D2">
        <v>9</v>
      </c>
    </row>
    <row r="3" spans="1:4" x14ac:dyDescent="0.25">
      <c r="A3" s="2" t="s">
        <v>16</v>
      </c>
      <c r="B3">
        <v>88125000</v>
      </c>
      <c r="C3">
        <v>990239.72157216037</v>
      </c>
      <c r="D3">
        <v>8</v>
      </c>
    </row>
    <row r="4" spans="1:4" x14ac:dyDescent="0.25">
      <c r="A4" s="2" t="s">
        <v>10</v>
      </c>
      <c r="B4">
        <v>107222222.22222222</v>
      </c>
      <c r="C4">
        <v>1037996.245004254</v>
      </c>
      <c r="D4">
        <v>9</v>
      </c>
    </row>
    <row r="5" spans="1:4" x14ac:dyDescent="0.25">
      <c r="A5" s="2" t="s">
        <v>17</v>
      </c>
      <c r="B5">
        <v>71666666.666666672</v>
      </c>
      <c r="C5">
        <v>1000034.5065562456</v>
      </c>
      <c r="D5">
        <v>6</v>
      </c>
    </row>
    <row r="6" spans="1:4" x14ac:dyDescent="0.25">
      <c r="A6" s="2" t="s">
        <v>19</v>
      </c>
      <c r="B6">
        <v>68000000</v>
      </c>
      <c r="C6">
        <v>1000000</v>
      </c>
      <c r="D6">
        <v>1</v>
      </c>
    </row>
    <row r="7" spans="1:4" x14ac:dyDescent="0.25">
      <c r="A7" s="2" t="s">
        <v>8</v>
      </c>
      <c r="B7">
        <v>85333333.333333328</v>
      </c>
      <c r="C7">
        <v>1020660.6204931185</v>
      </c>
      <c r="D7">
        <v>9</v>
      </c>
    </row>
    <row r="8" spans="1:4" x14ac:dyDescent="0.25">
      <c r="A8" s="2" t="s">
        <v>14</v>
      </c>
      <c r="B8">
        <v>50000000</v>
      </c>
      <c r="C8">
        <v>1000000</v>
      </c>
      <c r="D8">
        <v>8</v>
      </c>
    </row>
    <row r="9" spans="1:4" x14ac:dyDescent="0.25">
      <c r="A9" s="2" t="s">
        <v>24</v>
      </c>
      <c r="B9">
        <v>90740000</v>
      </c>
      <c r="C9">
        <v>1014502.7840053588</v>
      </c>
      <c r="D9">
        <v>50</v>
      </c>
    </row>
    <row r="24" spans="1:2" x14ac:dyDescent="0.25">
      <c r="A24" s="1" t="s">
        <v>21</v>
      </c>
      <c r="B24" t="s">
        <v>30</v>
      </c>
    </row>
    <row r="26" spans="1:2" x14ac:dyDescent="0.25">
      <c r="A26" s="1" t="s">
        <v>23</v>
      </c>
      <c r="B26" t="s">
        <v>25</v>
      </c>
    </row>
    <row r="27" spans="1:2" x14ac:dyDescent="0.25">
      <c r="A27" s="2">
        <v>1.375</v>
      </c>
      <c r="B27" s="3">
        <v>142000000</v>
      </c>
    </row>
    <row r="28" spans="1:2" x14ac:dyDescent="0.25">
      <c r="A28" s="2">
        <v>1.5</v>
      </c>
      <c r="B28" s="3">
        <v>140000000</v>
      </c>
    </row>
    <row r="29" spans="1:2" x14ac:dyDescent="0.25">
      <c r="A29" s="2">
        <v>1.625</v>
      </c>
      <c r="B29" s="3">
        <v>138000000</v>
      </c>
    </row>
    <row r="30" spans="1:2" x14ac:dyDescent="0.25">
      <c r="A30" s="2">
        <v>1.75</v>
      </c>
      <c r="B30" s="3">
        <v>132000000</v>
      </c>
    </row>
    <row r="31" spans="1:2" x14ac:dyDescent="0.25">
      <c r="A31" s="2">
        <v>1.8125</v>
      </c>
      <c r="B31" s="3">
        <v>136000000</v>
      </c>
    </row>
    <row r="32" spans="1:2" x14ac:dyDescent="0.25">
      <c r="A32" s="2">
        <v>1.875</v>
      </c>
      <c r="B32" s="3">
        <v>135000000</v>
      </c>
    </row>
    <row r="33" spans="1:2" x14ac:dyDescent="0.25">
      <c r="A33" s="2">
        <v>2</v>
      </c>
      <c r="B33" s="3">
        <v>130000000</v>
      </c>
    </row>
    <row r="34" spans="1:2" x14ac:dyDescent="0.25">
      <c r="A34" s="2">
        <v>2.125</v>
      </c>
      <c r="B34" s="3">
        <v>128000000</v>
      </c>
    </row>
    <row r="35" spans="1:2" x14ac:dyDescent="0.25">
      <c r="A35" s="2">
        <v>2.25</v>
      </c>
      <c r="B35" s="3">
        <v>125000000</v>
      </c>
    </row>
    <row r="36" spans="1:2" x14ac:dyDescent="0.25">
      <c r="A36" s="2">
        <v>2.375</v>
      </c>
      <c r="B36" s="3">
        <v>121000000</v>
      </c>
    </row>
    <row r="37" spans="1:2" x14ac:dyDescent="0.25">
      <c r="A37" s="2">
        <v>2.5</v>
      </c>
      <c r="B37" s="3">
        <v>120000000</v>
      </c>
    </row>
    <row r="38" spans="1:2" x14ac:dyDescent="0.25">
      <c r="A38" s="2">
        <v>2.625</v>
      </c>
      <c r="B38" s="3">
        <v>118000000</v>
      </c>
    </row>
    <row r="39" spans="1:2" x14ac:dyDescent="0.25">
      <c r="A39" s="2">
        <v>2.875</v>
      </c>
      <c r="B39" s="3">
        <v>115000000</v>
      </c>
    </row>
    <row r="40" spans="1:2" x14ac:dyDescent="0.25">
      <c r="A40" s="2">
        <v>3</v>
      </c>
      <c r="B40" s="3">
        <v>108000000</v>
      </c>
    </row>
    <row r="41" spans="1:2" x14ac:dyDescent="0.25">
      <c r="A41" s="2">
        <v>3.125</v>
      </c>
      <c r="B41" s="3">
        <v>110000000</v>
      </c>
    </row>
    <row r="42" spans="1:2" x14ac:dyDescent="0.25">
      <c r="A42" s="2">
        <v>3.25</v>
      </c>
      <c r="B42" s="3">
        <v>105000000</v>
      </c>
    </row>
    <row r="43" spans="1:2" x14ac:dyDescent="0.25">
      <c r="A43" s="2">
        <v>3.5</v>
      </c>
      <c r="B43" s="3">
        <v>98000000</v>
      </c>
    </row>
    <row r="44" spans="1:2" x14ac:dyDescent="0.25">
      <c r="A44" s="2">
        <v>3.875</v>
      </c>
      <c r="B44" s="3">
        <v>94000000</v>
      </c>
    </row>
    <row r="45" spans="1:2" x14ac:dyDescent="0.25">
      <c r="A45" s="2">
        <v>4</v>
      </c>
      <c r="B45" s="3">
        <v>92000000</v>
      </c>
    </row>
    <row r="46" spans="1:2" x14ac:dyDescent="0.25">
      <c r="A46" s="2">
        <v>4.125</v>
      </c>
      <c r="B46" s="3">
        <v>86000000</v>
      </c>
    </row>
    <row r="47" spans="1:2" x14ac:dyDescent="0.25">
      <c r="A47" s="2">
        <v>4.25</v>
      </c>
      <c r="B47" s="3">
        <v>89000000</v>
      </c>
    </row>
    <row r="48" spans="1:2" x14ac:dyDescent="0.25">
      <c r="A48" s="2">
        <v>4.375</v>
      </c>
      <c r="B48" s="3">
        <v>85000000</v>
      </c>
    </row>
    <row r="49" spans="1:2" x14ac:dyDescent="0.25">
      <c r="A49" s="2">
        <v>4.5</v>
      </c>
      <c r="B49" s="3">
        <v>81000000</v>
      </c>
    </row>
    <row r="50" spans="1:2" x14ac:dyDescent="0.25">
      <c r="A50" s="2">
        <v>4.625</v>
      </c>
      <c r="B50" s="3">
        <v>83000000</v>
      </c>
    </row>
    <row r="51" spans="1:2" x14ac:dyDescent="0.25">
      <c r="A51" s="2">
        <v>4.75</v>
      </c>
      <c r="B51" s="3">
        <v>78000000</v>
      </c>
    </row>
    <row r="52" spans="1:2" x14ac:dyDescent="0.25">
      <c r="A52" s="2">
        <v>4.875</v>
      </c>
      <c r="B52" s="3">
        <v>173000000</v>
      </c>
    </row>
    <row r="53" spans="1:2" x14ac:dyDescent="0.25">
      <c r="A53" s="2">
        <v>5</v>
      </c>
      <c r="B53" s="3">
        <v>88000000</v>
      </c>
    </row>
    <row r="54" spans="1:2" x14ac:dyDescent="0.25">
      <c r="A54" s="2">
        <v>5.125</v>
      </c>
      <c r="B54" s="3">
        <v>84000000</v>
      </c>
    </row>
    <row r="55" spans="1:2" x14ac:dyDescent="0.25">
      <c r="A55" s="2">
        <v>5.25</v>
      </c>
      <c r="B55" s="3">
        <v>82000000</v>
      </c>
    </row>
    <row r="56" spans="1:2" x14ac:dyDescent="0.25">
      <c r="A56" s="2">
        <v>5.375</v>
      </c>
      <c r="B56" s="3">
        <v>176000000</v>
      </c>
    </row>
    <row r="57" spans="1:2" x14ac:dyDescent="0.25">
      <c r="A57" s="2">
        <v>5.5</v>
      </c>
      <c r="B57" s="3">
        <v>87000000</v>
      </c>
    </row>
    <row r="58" spans="1:2" x14ac:dyDescent="0.25">
      <c r="A58" s="2">
        <v>5.625</v>
      </c>
      <c r="B58" s="3">
        <v>168000000</v>
      </c>
    </row>
    <row r="59" spans="1:2" x14ac:dyDescent="0.25">
      <c r="A59" s="2">
        <v>5.75</v>
      </c>
      <c r="B59" s="3">
        <v>71000000</v>
      </c>
    </row>
    <row r="60" spans="1:2" x14ac:dyDescent="0.25">
      <c r="A60" s="2">
        <v>5.875</v>
      </c>
      <c r="B60" s="3">
        <v>75000000</v>
      </c>
    </row>
    <row r="61" spans="1:2" x14ac:dyDescent="0.25">
      <c r="A61" s="2">
        <v>6</v>
      </c>
      <c r="B61" s="3">
        <v>72000000</v>
      </c>
    </row>
    <row r="62" spans="1:2" x14ac:dyDescent="0.25">
      <c r="A62" s="2">
        <v>6.125</v>
      </c>
      <c r="B62" s="3">
        <v>69000000</v>
      </c>
    </row>
    <row r="63" spans="1:2" x14ac:dyDescent="0.25">
      <c r="A63" s="2">
        <v>6.25</v>
      </c>
      <c r="B63" s="3">
        <v>68000000</v>
      </c>
    </row>
    <row r="64" spans="1:2" x14ac:dyDescent="0.25">
      <c r="A64" s="2">
        <v>6.375</v>
      </c>
      <c r="B64" s="3">
        <v>70000000</v>
      </c>
    </row>
    <row r="65" spans="1:9" x14ac:dyDescent="0.25">
      <c r="A65" s="2">
        <v>6.5</v>
      </c>
      <c r="B65" s="3">
        <v>52000000</v>
      </c>
    </row>
    <row r="66" spans="1:9" x14ac:dyDescent="0.25">
      <c r="A66" s="2">
        <v>6.625</v>
      </c>
      <c r="B66" s="3">
        <v>53000000</v>
      </c>
    </row>
    <row r="67" spans="1:9" x14ac:dyDescent="0.25">
      <c r="A67" s="2">
        <v>6.75</v>
      </c>
      <c r="B67" s="3">
        <v>51000000</v>
      </c>
    </row>
    <row r="68" spans="1:9" x14ac:dyDescent="0.25">
      <c r="A68" s="2">
        <v>6.875</v>
      </c>
      <c r="B68" s="3">
        <v>55000000</v>
      </c>
    </row>
    <row r="69" spans="1:9" x14ac:dyDescent="0.25">
      <c r="A69" s="2">
        <v>7.125</v>
      </c>
      <c r="B69" s="3">
        <v>49000000</v>
      </c>
    </row>
    <row r="70" spans="1:9" x14ac:dyDescent="0.25">
      <c r="A70" s="2">
        <v>7.25</v>
      </c>
      <c r="B70" s="3">
        <v>48000000</v>
      </c>
    </row>
    <row r="71" spans="1:9" x14ac:dyDescent="0.25">
      <c r="A71" s="2">
        <v>7.375</v>
      </c>
      <c r="B71" s="3">
        <v>47000000</v>
      </c>
    </row>
    <row r="72" spans="1:9" x14ac:dyDescent="0.25">
      <c r="A72" s="2">
        <v>7.5</v>
      </c>
      <c r="B72" s="3">
        <v>45000000</v>
      </c>
    </row>
    <row r="73" spans="1:9" x14ac:dyDescent="0.25">
      <c r="A73" s="2">
        <v>10</v>
      </c>
      <c r="B73" s="3">
        <v>65000000</v>
      </c>
    </row>
    <row r="74" spans="1:9" x14ac:dyDescent="0.25">
      <c r="A74" s="2" t="s">
        <v>24</v>
      </c>
      <c r="B74" s="3">
        <v>4537000000</v>
      </c>
    </row>
    <row r="79" spans="1:9" x14ac:dyDescent="0.25">
      <c r="A79" s="1" t="s">
        <v>25</v>
      </c>
      <c r="B79" s="1" t="s">
        <v>27</v>
      </c>
    </row>
    <row r="80" spans="1:9" x14ac:dyDescent="0.25">
      <c r="A80" s="1" t="s">
        <v>23</v>
      </c>
      <c r="B80" t="s">
        <v>12</v>
      </c>
      <c r="C80" t="s">
        <v>16</v>
      </c>
      <c r="D80" t="s">
        <v>10</v>
      </c>
      <c r="E80" t="s">
        <v>17</v>
      </c>
      <c r="F80" t="s">
        <v>19</v>
      </c>
      <c r="G80" t="s">
        <v>8</v>
      </c>
      <c r="H80" t="s">
        <v>14</v>
      </c>
      <c r="I80" t="s">
        <v>24</v>
      </c>
    </row>
    <row r="81" spans="1:9" x14ac:dyDescent="0.25">
      <c r="A81" s="2" t="s">
        <v>15</v>
      </c>
      <c r="H81">
        <v>189000000</v>
      </c>
      <c r="I81">
        <v>189000000</v>
      </c>
    </row>
    <row r="82" spans="1:9" x14ac:dyDescent="0.25">
      <c r="A82" s="2" t="s">
        <v>11</v>
      </c>
      <c r="D82">
        <v>65000000</v>
      </c>
      <c r="E82">
        <v>430000000</v>
      </c>
      <c r="F82">
        <v>68000000</v>
      </c>
      <c r="H82">
        <v>211000000</v>
      </c>
      <c r="I82">
        <v>774000000</v>
      </c>
    </row>
    <row r="83" spans="1:9" x14ac:dyDescent="0.25">
      <c r="A83" s="2" t="s">
        <v>9</v>
      </c>
      <c r="C83">
        <v>705000000</v>
      </c>
      <c r="D83">
        <v>203000000</v>
      </c>
      <c r="G83">
        <v>768000000</v>
      </c>
      <c r="I83">
        <v>1676000000</v>
      </c>
    </row>
    <row r="84" spans="1:9" x14ac:dyDescent="0.25">
      <c r="A84" s="2" t="s">
        <v>13</v>
      </c>
      <c r="B84">
        <v>781000000</v>
      </c>
      <c r="D84">
        <v>697000000</v>
      </c>
      <c r="I84">
        <v>1478000000</v>
      </c>
    </row>
    <row r="85" spans="1:9" x14ac:dyDescent="0.25">
      <c r="A85" s="2" t="s">
        <v>18</v>
      </c>
      <c r="B85">
        <v>420000000</v>
      </c>
      <c r="I85">
        <v>420000000</v>
      </c>
    </row>
    <row r="86" spans="1:9" x14ac:dyDescent="0.25">
      <c r="A86" s="2" t="s">
        <v>24</v>
      </c>
      <c r="B86">
        <v>1201000000</v>
      </c>
      <c r="C86">
        <v>705000000</v>
      </c>
      <c r="D86">
        <v>965000000</v>
      </c>
      <c r="E86">
        <v>430000000</v>
      </c>
      <c r="F86">
        <v>68000000</v>
      </c>
      <c r="G86">
        <v>768000000</v>
      </c>
      <c r="H86">
        <v>400000000</v>
      </c>
      <c r="I86">
        <v>4537000000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clean_data</vt:lpstr>
      <vt:lpstr>Pivot 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Kumari</dc:creator>
  <cp:lastModifiedBy>Pooja Kumari</cp:lastModifiedBy>
  <dcterms:created xsi:type="dcterms:W3CDTF">2025-09-29T10:00:54Z</dcterms:created>
  <dcterms:modified xsi:type="dcterms:W3CDTF">2025-10-30T18:40:26Z</dcterms:modified>
</cp:coreProperties>
</file>